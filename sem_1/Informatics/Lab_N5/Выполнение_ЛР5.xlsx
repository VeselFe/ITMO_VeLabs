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ca7ffefce86dfb/ИТМО/Лабы_по_Инфе/Лаба №5/"/>
    </mc:Choice>
  </mc:AlternateContent>
  <xr:revisionPtr revIDLastSave="0" documentId="14_{2577DA7B-3095-49EE-9DC0-7399A4DDFB55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Лист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O65" i="1" l="1"/>
  <c r="X65" i="1"/>
  <c r="AO64" i="1"/>
  <c r="AO67" i="1" s="1"/>
  <c r="AO68" i="1" s="1"/>
  <c r="X64" i="1"/>
  <c r="AO55" i="1"/>
  <c r="X55" i="1"/>
  <c r="AO54" i="1"/>
  <c r="X54" i="1"/>
  <c r="X45" i="1"/>
  <c r="X44" i="1"/>
  <c r="X35" i="1"/>
  <c r="X34" i="1"/>
  <c r="T32" i="1"/>
  <c r="R32" i="1"/>
  <c r="Q32" i="1"/>
  <c r="O32" i="1"/>
  <c r="Q29" i="1"/>
  <c r="P29" i="1"/>
  <c r="P5" i="1" s="1"/>
  <c r="O29" i="1"/>
  <c r="AO28" i="1"/>
  <c r="S28" i="1"/>
  <c r="R28" i="1"/>
  <c r="Q28" i="1"/>
  <c r="P28" i="1"/>
  <c r="O28" i="1"/>
  <c r="O4" i="1" s="1"/>
  <c r="AO27" i="1"/>
  <c r="AN27" i="1"/>
  <c r="AN28" i="1" s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U27" i="1"/>
  <c r="T27" i="1"/>
  <c r="S27" i="1"/>
  <c r="S29" i="1" s="1"/>
  <c r="R27" i="1"/>
  <c r="R29" i="1" s="1"/>
  <c r="Q27" i="1"/>
  <c r="P27" i="1"/>
  <c r="O27" i="1"/>
  <c r="N27" i="1"/>
  <c r="M27" i="1"/>
  <c r="L27" i="1"/>
  <c r="K27" i="1"/>
  <c r="J27" i="1"/>
  <c r="I27" i="1"/>
  <c r="H27" i="1"/>
  <c r="G27" i="1"/>
  <c r="F27" i="1"/>
  <c r="X25" i="1"/>
  <c r="AU24" i="1"/>
  <c r="AT24" i="1"/>
  <c r="AR24" i="1"/>
  <c r="X24" i="1"/>
  <c r="AN23" i="1"/>
  <c r="AM23" i="1"/>
  <c r="AL23" i="1" s="1"/>
  <c r="AK23" i="1"/>
  <c r="AJ23" i="1"/>
  <c r="AI23" i="1" s="1"/>
  <c r="AH23" i="1" s="1"/>
  <c r="AG23" i="1" s="1"/>
  <c r="AF23" i="1"/>
  <c r="AE23" i="1"/>
  <c r="AD23" i="1"/>
  <c r="AC23" i="1"/>
  <c r="AB23" i="1"/>
  <c r="AA23" i="1" s="1"/>
  <c r="Z23" i="1" s="1"/>
  <c r="Y27" i="1" s="1"/>
  <c r="AQ24" i="1" s="1"/>
  <c r="X15" i="1"/>
  <c r="X14" i="1"/>
  <c r="X10" i="1"/>
  <c r="C8" i="1"/>
  <c r="N32" i="1" s="1"/>
  <c r="AZ7" i="1"/>
  <c r="AY7" i="1"/>
  <c r="C7" i="1"/>
  <c r="Q31" i="1" s="1"/>
  <c r="AZ6" i="1"/>
  <c r="AY6" i="1"/>
  <c r="C6" i="1"/>
  <c r="Q30" i="1" s="1"/>
  <c r="X5" i="1"/>
  <c r="C5" i="1"/>
  <c r="L29" i="1" s="1"/>
  <c r="X4" i="1"/>
  <c r="C4" i="1"/>
  <c r="I30" i="1" l="1"/>
  <c r="J30" i="1"/>
  <c r="J6" i="1" s="1"/>
  <c r="K30" i="1"/>
  <c r="N30" i="1"/>
  <c r="N6" i="1" s="1"/>
  <c r="C9" i="1"/>
  <c r="R33" i="1" s="1"/>
  <c r="I32" i="1"/>
  <c r="M32" i="1"/>
  <c r="K6" i="1"/>
  <c r="AD64" i="1" s="1"/>
  <c r="O30" i="1"/>
  <c r="P30" i="1"/>
  <c r="C12" i="1"/>
  <c r="F30" i="1"/>
  <c r="F6" i="1" s="1"/>
  <c r="R31" i="1"/>
  <c r="R7" i="1" s="1"/>
  <c r="G32" i="1"/>
  <c r="J32" i="1"/>
  <c r="H31" i="1"/>
  <c r="H7" i="1" s="1"/>
  <c r="G31" i="1"/>
  <c r="G7" i="1" s="1"/>
  <c r="Q7" i="1"/>
  <c r="G29" i="1"/>
  <c r="G5" i="1" s="1"/>
  <c r="I31" i="1"/>
  <c r="I7" i="1" s="1"/>
  <c r="H33" i="1"/>
  <c r="R5" i="1"/>
  <c r="AL14" i="1" s="1"/>
  <c r="H29" i="1"/>
  <c r="J31" i="1"/>
  <c r="J7" i="1" s="1"/>
  <c r="I33" i="1"/>
  <c r="S5" i="1"/>
  <c r="AM14" i="1" s="1"/>
  <c r="N31" i="1"/>
  <c r="N7" i="1" s="1"/>
  <c r="J29" i="1"/>
  <c r="K31" i="1"/>
  <c r="K7" i="1" s="1"/>
  <c r="J33" i="1"/>
  <c r="J9" i="1" s="1"/>
  <c r="O31" i="1"/>
  <c r="M29" i="1"/>
  <c r="L31" i="1"/>
  <c r="L7" i="1" s="1"/>
  <c r="N29" i="1"/>
  <c r="N5" i="1" s="1"/>
  <c r="M31" i="1"/>
  <c r="M7" i="1" s="1"/>
  <c r="C15" i="1"/>
  <c r="AH54" i="1"/>
  <c r="AI4" i="1"/>
  <c r="Q6" i="1"/>
  <c r="AD15" i="1"/>
  <c r="AC64" i="1"/>
  <c r="R9" i="1"/>
  <c r="AJ14" i="1"/>
  <c r="AJ5" i="1"/>
  <c r="O7" i="1"/>
  <c r="M5" i="1"/>
  <c r="O5" i="1"/>
  <c r="AV24" i="1"/>
  <c r="AM28" i="1"/>
  <c r="AL28" i="1" s="1"/>
  <c r="U29" i="1"/>
  <c r="U28" i="1"/>
  <c r="Q4" i="1"/>
  <c r="AE15" i="1"/>
  <c r="O6" i="1"/>
  <c r="T29" i="1"/>
  <c r="T28" i="1"/>
  <c r="T31" i="1"/>
  <c r="T7" i="1" s="1"/>
  <c r="P6" i="1"/>
  <c r="F31" i="1"/>
  <c r="P33" i="1"/>
  <c r="Q33" i="1"/>
  <c r="Q9" i="1"/>
  <c r="O33" i="1"/>
  <c r="O9" i="1" s="1"/>
  <c r="N33" i="1"/>
  <c r="N9" i="1" s="1"/>
  <c r="M33" i="1"/>
  <c r="M9" i="1" s="1"/>
  <c r="L33" i="1"/>
  <c r="T33" i="1"/>
  <c r="L5" i="1"/>
  <c r="H30" i="1"/>
  <c r="H6" i="1" s="1"/>
  <c r="I6" i="1"/>
  <c r="G30" i="1"/>
  <c r="G6" i="1" s="1"/>
  <c r="U30" i="1"/>
  <c r="R30" i="1"/>
  <c r="U6" i="1"/>
  <c r="T30" i="1"/>
  <c r="S30" i="1"/>
  <c r="S6" i="1" s="1"/>
  <c r="H9" i="1"/>
  <c r="L30" i="1"/>
  <c r="AO57" i="1"/>
  <c r="AO58" i="1" s="1"/>
  <c r="AN53" i="1"/>
  <c r="L28" i="1"/>
  <c r="S4" i="1"/>
  <c r="K28" i="1"/>
  <c r="R4" i="1"/>
  <c r="I28" i="1"/>
  <c r="P4" i="1"/>
  <c r="F28" i="1"/>
  <c r="C10" i="1"/>
  <c r="N28" i="1"/>
  <c r="J28" i="1"/>
  <c r="J4" i="1" s="1"/>
  <c r="M28" i="1"/>
  <c r="H28" i="1"/>
  <c r="G28" i="1"/>
  <c r="G4" i="1"/>
  <c r="H4" i="1"/>
  <c r="Q5" i="1"/>
  <c r="I9" i="1"/>
  <c r="M30" i="1"/>
  <c r="H32" i="1"/>
  <c r="F32" i="1"/>
  <c r="U32" i="1"/>
  <c r="C14" i="1"/>
  <c r="X70" i="1" s="1"/>
  <c r="S32" i="1"/>
  <c r="P32" i="1"/>
  <c r="K32" i="1"/>
  <c r="L32" i="1"/>
  <c r="AN63" i="1"/>
  <c r="F29" i="1"/>
  <c r="P31" i="1"/>
  <c r="H5" i="1"/>
  <c r="C11" i="1"/>
  <c r="I29" i="1"/>
  <c r="S31" i="1"/>
  <c r="J5" i="1"/>
  <c r="C13" i="1"/>
  <c r="X20" i="1"/>
  <c r="K29" i="1"/>
  <c r="U31" i="1"/>
  <c r="U7" i="1" s="1"/>
  <c r="K5" i="1"/>
  <c r="S33" i="1" l="1"/>
  <c r="U33" i="1"/>
  <c r="AM5" i="1"/>
  <c r="G33" i="1"/>
  <c r="G9" i="1" s="1"/>
  <c r="F33" i="1"/>
  <c r="F9" i="1" s="1"/>
  <c r="K33" i="1"/>
  <c r="AL5" i="1"/>
  <c r="U21" i="1"/>
  <c r="T13" i="1" s="1"/>
  <c r="U13" i="1"/>
  <c r="AD4" i="1"/>
  <c r="AC54" i="1"/>
  <c r="AK28" i="1"/>
  <c r="AJ28" i="1" s="1"/>
  <c r="AI28" i="1" s="1"/>
  <c r="AH28" i="1" s="1"/>
  <c r="AL29" i="1"/>
  <c r="AM15" i="1"/>
  <c r="AL64" i="1"/>
  <c r="T5" i="1"/>
  <c r="T35" i="1"/>
  <c r="U43" i="1"/>
  <c r="U4" i="1"/>
  <c r="AM4" i="1"/>
  <c r="AL54" i="1"/>
  <c r="F4" i="1"/>
  <c r="I5" i="1"/>
  <c r="U20" i="1"/>
  <c r="AO15" i="1"/>
  <c r="U12" i="1"/>
  <c r="AO45" i="1" s="1"/>
  <c r="AN64" i="1"/>
  <c r="S40" i="1"/>
  <c r="R40" i="1" s="1"/>
  <c r="T9" i="1"/>
  <c r="AH5" i="1"/>
  <c r="AH14" i="1"/>
  <c r="U47" i="1"/>
  <c r="U8" i="1" s="1"/>
  <c r="T39" i="1"/>
  <c r="Z15" i="1"/>
  <c r="AI14" i="1"/>
  <c r="AI5" i="1"/>
  <c r="AJ4" i="1"/>
  <c r="AI54" i="1"/>
  <c r="AA54" i="1"/>
  <c r="AB4" i="1"/>
  <c r="S9" i="1"/>
  <c r="F5" i="1"/>
  <c r="AA64" i="1"/>
  <c r="AB15" i="1"/>
  <c r="AG5" i="1"/>
  <c r="AG14" i="1"/>
  <c r="AA15" i="1"/>
  <c r="Z64" i="1"/>
  <c r="I4" i="1"/>
  <c r="AF5" i="1"/>
  <c r="AF14" i="1"/>
  <c r="Z54" i="1"/>
  <c r="AA4" i="1"/>
  <c r="AK4" i="1"/>
  <c r="AJ54" i="1"/>
  <c r="R6" i="1"/>
  <c r="U46" i="1"/>
  <c r="T38" i="1"/>
  <c r="T46" i="1"/>
  <c r="S38" i="1"/>
  <c r="S46" i="1" s="1"/>
  <c r="AD5" i="1"/>
  <c r="AD14" i="1"/>
  <c r="S7" i="1"/>
  <c r="AL4" i="1"/>
  <c r="AK54" i="1"/>
  <c r="AH64" i="1"/>
  <c r="AI15" i="1"/>
  <c r="T6" i="1"/>
  <c r="U44" i="1"/>
  <c r="T36" i="1"/>
  <c r="T44" i="1" s="1"/>
  <c r="L4" i="1"/>
  <c r="T40" i="1"/>
  <c r="T48" i="1" s="1"/>
  <c r="U9" i="1"/>
  <c r="U48" i="1"/>
  <c r="U45" i="1"/>
  <c r="T37" i="1"/>
  <c r="T45" i="1" s="1"/>
  <c r="AE5" i="1"/>
  <c r="AE14" i="1"/>
  <c r="U5" i="1"/>
  <c r="K4" i="1"/>
  <c r="N4" i="1"/>
  <c r="AC15" i="1"/>
  <c r="AB64" i="1"/>
  <c r="M4" i="1"/>
  <c r="L6" i="1"/>
  <c r="F7" i="1"/>
  <c r="AK5" i="1"/>
  <c r="AK14" i="1"/>
  <c r="T43" i="1"/>
  <c r="S35" i="1"/>
  <c r="T4" i="1"/>
  <c r="X50" i="1"/>
  <c r="X60" i="1"/>
  <c r="AB14" i="1"/>
  <c r="AB5" i="1"/>
  <c r="P7" i="1"/>
  <c r="AG64" i="1"/>
  <c r="AH15" i="1"/>
  <c r="P9" i="1"/>
  <c r="L9" i="1"/>
  <c r="M6" i="1"/>
  <c r="X30" i="1"/>
  <c r="X40" i="1"/>
  <c r="K9" i="1"/>
  <c r="AI64" i="1"/>
  <c r="AJ15" i="1"/>
  <c r="AA5" i="1"/>
  <c r="AA14" i="1"/>
  <c r="AK15" i="1"/>
  <c r="AJ64" i="1"/>
  <c r="T21" i="1" l="1"/>
  <c r="S48" i="1"/>
  <c r="Q40" i="1"/>
  <c r="R48" i="1"/>
  <c r="AG15" i="1"/>
  <c r="AF64" i="1"/>
  <c r="S37" i="1"/>
  <c r="Z4" i="1"/>
  <c r="U23" i="1"/>
  <c r="T23" i="1" s="1"/>
  <c r="U15" i="1"/>
  <c r="AM54" i="1"/>
  <c r="T10" i="1"/>
  <c r="AN34" i="1" s="1"/>
  <c r="AN4" i="1"/>
  <c r="T18" i="1"/>
  <c r="R38" i="1"/>
  <c r="AE4" i="1"/>
  <c r="AD54" i="1"/>
  <c r="S13" i="1"/>
  <c r="S21" i="1"/>
  <c r="AN14" i="1"/>
  <c r="AN5" i="1"/>
  <c r="AC5" i="1"/>
  <c r="AC14" i="1"/>
  <c r="U18" i="1"/>
  <c r="U10" i="1"/>
  <c r="AO34" i="1" s="1"/>
  <c r="AN54" i="1"/>
  <c r="AO4" i="1"/>
  <c r="S43" i="1"/>
  <c r="R35" i="1"/>
  <c r="AO14" i="1"/>
  <c r="U11" i="1"/>
  <c r="U19" i="1"/>
  <c r="T11" i="1" s="1"/>
  <c r="AO5" i="1"/>
  <c r="U22" i="1"/>
  <c r="U14" i="1"/>
  <c r="AN65" i="1" s="1"/>
  <c r="AN67" i="1" s="1"/>
  <c r="AN68" i="1" s="1"/>
  <c r="S36" i="1"/>
  <c r="AG54" i="1"/>
  <c r="AH4" i="1"/>
  <c r="AH29" i="1"/>
  <c r="AG28" i="1"/>
  <c r="AF28" i="1" s="1"/>
  <c r="AE28" i="1" s="1"/>
  <c r="AD28" i="1" s="1"/>
  <c r="AE54" i="1"/>
  <c r="AF4" i="1"/>
  <c r="Z14" i="1"/>
  <c r="Z5" i="1"/>
  <c r="T47" i="1"/>
  <c r="T8" i="1" s="1"/>
  <c r="S39" i="1"/>
  <c r="T20" i="1"/>
  <c r="T12" i="1"/>
  <c r="AN45" i="1" s="1"/>
  <c r="AN15" i="1"/>
  <c r="AM64" i="1"/>
  <c r="AL15" i="1"/>
  <c r="AK64" i="1"/>
  <c r="AB54" i="1"/>
  <c r="AC4" i="1"/>
  <c r="AF15" i="1"/>
  <c r="AE64" i="1"/>
  <c r="AF54" i="1"/>
  <c r="AG4" i="1"/>
  <c r="AM55" i="1" l="1"/>
  <c r="AN35" i="1"/>
  <c r="AN44" i="1"/>
  <c r="S15" i="1"/>
  <c r="S23" i="1"/>
  <c r="R37" i="1"/>
  <c r="S45" i="1"/>
  <c r="AD29" i="1"/>
  <c r="AC28" i="1"/>
  <c r="AB28" i="1" s="1"/>
  <c r="AA28" i="1" s="1"/>
  <c r="Z28" i="1" s="1"/>
  <c r="Z29" i="1" s="1"/>
  <c r="Y30" i="1" s="1"/>
  <c r="R36" i="1"/>
  <c r="S44" i="1"/>
  <c r="AN37" i="1"/>
  <c r="AM13" i="1"/>
  <c r="AM57" i="1"/>
  <c r="AN55" i="1"/>
  <c r="AN57" i="1" s="1"/>
  <c r="AN58" i="1" s="1"/>
  <c r="AO35" i="1"/>
  <c r="AN33" i="1" s="1"/>
  <c r="AM33" i="1" s="1"/>
  <c r="AO44" i="1"/>
  <c r="S18" i="1"/>
  <c r="S10" i="1"/>
  <c r="AM34" i="1" s="1"/>
  <c r="AM63" i="1"/>
  <c r="AN3" i="1"/>
  <c r="AN7" i="1" s="1"/>
  <c r="AO7" i="1"/>
  <c r="AO8" i="1" s="1"/>
  <c r="T15" i="1"/>
  <c r="P40" i="1"/>
  <c r="Q48" i="1"/>
  <c r="R21" i="1"/>
  <c r="R13" i="1"/>
  <c r="T22" i="1"/>
  <c r="T14" i="1"/>
  <c r="AM65" i="1" s="1"/>
  <c r="AM67" i="1" s="1"/>
  <c r="AM68" i="1" s="1"/>
  <c r="S20" i="1"/>
  <c r="S12" i="1"/>
  <c r="AM45" i="1" s="1"/>
  <c r="R39" i="1"/>
  <c r="S47" i="1"/>
  <c r="S8" i="1" s="1"/>
  <c r="AO17" i="1"/>
  <c r="AO18" i="1" s="1"/>
  <c r="AN13" i="1"/>
  <c r="AN17" i="1" s="1"/>
  <c r="AN18" i="1" s="1"/>
  <c r="Q38" i="1"/>
  <c r="R46" i="1"/>
  <c r="R43" i="1"/>
  <c r="Q35" i="1"/>
  <c r="T19" i="1"/>
  <c r="AS24" i="1" l="1"/>
  <c r="AQ26" i="1"/>
  <c r="Q39" i="1"/>
  <c r="R47" i="1"/>
  <c r="R8" i="1" s="1"/>
  <c r="AM58" i="1"/>
  <c r="AM17" i="1"/>
  <c r="AM18" i="1" s="1"/>
  <c r="AL13" i="1"/>
  <c r="R20" i="1"/>
  <c r="R12" i="1"/>
  <c r="AL45" i="1" s="1"/>
  <c r="S11" i="1"/>
  <c r="S19" i="1"/>
  <c r="AM3" i="1"/>
  <c r="Q46" i="1"/>
  <c r="P38" i="1"/>
  <c r="AL63" i="1"/>
  <c r="AN47" i="1"/>
  <c r="AM53" i="1"/>
  <c r="AL53" i="1" s="1"/>
  <c r="AN8" i="1"/>
  <c r="Q37" i="1"/>
  <c r="R45" i="1"/>
  <c r="S22" i="1"/>
  <c r="S14" i="1"/>
  <c r="AL65" i="1" s="1"/>
  <c r="P35" i="1"/>
  <c r="Q43" i="1"/>
  <c r="Q13" i="1"/>
  <c r="Q21" i="1"/>
  <c r="R23" i="1"/>
  <c r="R15" i="1"/>
  <c r="R18" i="1"/>
  <c r="R10" i="1"/>
  <c r="AL34" i="1" s="1"/>
  <c r="R44" i="1"/>
  <c r="Q36" i="1"/>
  <c r="AO37" i="1"/>
  <c r="AO38" i="1" s="1"/>
  <c r="P48" i="1"/>
  <c r="O40" i="1"/>
  <c r="AN43" i="1"/>
  <c r="AM43" i="1" s="1"/>
  <c r="AO47" i="1"/>
  <c r="AO48" i="1" s="1"/>
  <c r="O38" i="1" l="1"/>
  <c r="P46" i="1"/>
  <c r="AL55" i="1"/>
  <c r="AM35" i="1"/>
  <c r="AM44" i="1"/>
  <c r="R14" i="1"/>
  <c r="AK65" i="1" s="1"/>
  <c r="R22" i="1"/>
  <c r="N40" i="1"/>
  <c r="O48" i="1"/>
  <c r="AT14" i="1"/>
  <c r="AL17" i="1"/>
  <c r="AK13" i="1"/>
  <c r="AN38" i="1"/>
  <c r="Q44" i="1"/>
  <c r="P36" i="1"/>
  <c r="P13" i="1"/>
  <c r="P21" i="1"/>
  <c r="AM7" i="1"/>
  <c r="AM8" i="1" s="1"/>
  <c r="AL3" i="1"/>
  <c r="P43" i="1"/>
  <c r="O35" i="1"/>
  <c r="AK63" i="1"/>
  <c r="AL67" i="1"/>
  <c r="P37" i="1"/>
  <c r="Q45" i="1"/>
  <c r="Q15" i="1"/>
  <c r="Q23" i="1"/>
  <c r="R11" i="1"/>
  <c r="R19" i="1"/>
  <c r="Q20" i="1"/>
  <c r="Q12" i="1"/>
  <c r="AK45" i="1" s="1"/>
  <c r="AT54" i="1"/>
  <c r="P39" i="1"/>
  <c r="Q47" i="1"/>
  <c r="Q8" i="1" s="1"/>
  <c r="AN48" i="1"/>
  <c r="Q18" i="1"/>
  <c r="Q10" i="1"/>
  <c r="AK34" i="1" s="1"/>
  <c r="AT64" i="1"/>
  <c r="P15" i="1" l="1"/>
  <c r="P23" i="1"/>
  <c r="AL68" i="1"/>
  <c r="AV64" i="1"/>
  <c r="P18" i="1"/>
  <c r="P10" i="1"/>
  <c r="AJ34" i="1" s="1"/>
  <c r="AL33" i="1"/>
  <c r="AM37" i="1"/>
  <c r="AM38" i="1" s="1"/>
  <c r="P20" i="1"/>
  <c r="P12" i="1"/>
  <c r="AJ45" i="1" s="1"/>
  <c r="AK55" i="1"/>
  <c r="AL44" i="1"/>
  <c r="AL35" i="1"/>
  <c r="O37" i="1"/>
  <c r="P45" i="1"/>
  <c r="AL57" i="1"/>
  <c r="AK53" i="1"/>
  <c r="AK17" i="1"/>
  <c r="AJ13" i="1"/>
  <c r="Q22" i="1"/>
  <c r="Q14" i="1"/>
  <c r="AJ65" i="1" s="1"/>
  <c r="AK67" i="1"/>
  <c r="AK68" i="1" s="1"/>
  <c r="AJ63" i="1"/>
  <c r="O43" i="1"/>
  <c r="N35" i="1"/>
  <c r="P44" i="1"/>
  <c r="O36" i="1"/>
  <c r="Q11" i="1"/>
  <c r="Q19" i="1"/>
  <c r="AL18" i="1"/>
  <c r="AV14" i="1"/>
  <c r="M40" i="1"/>
  <c r="N48" i="1"/>
  <c r="AM47" i="1"/>
  <c r="AM48" i="1" s="1"/>
  <c r="AL43" i="1"/>
  <c r="AT4" i="1"/>
  <c r="AL7" i="1"/>
  <c r="AK3" i="1"/>
  <c r="P47" i="1"/>
  <c r="P8" i="1" s="1"/>
  <c r="O39" i="1"/>
  <c r="O21" i="1"/>
  <c r="O13" i="1"/>
  <c r="O46" i="1"/>
  <c r="N38" i="1"/>
  <c r="O44" i="1" l="1"/>
  <c r="N36" i="1"/>
  <c r="M35" i="1"/>
  <c r="N43" i="1"/>
  <c r="M38" i="1"/>
  <c r="N46" i="1"/>
  <c r="AK33" i="1"/>
  <c r="AL37" i="1"/>
  <c r="N13" i="1"/>
  <c r="N21" i="1"/>
  <c r="O20" i="1"/>
  <c r="O12" i="1"/>
  <c r="AI45" i="1" s="1"/>
  <c r="AL8" i="1"/>
  <c r="AV4" i="1"/>
  <c r="P19" i="1"/>
  <c r="P11" i="1"/>
  <c r="N37" i="1"/>
  <c r="O45" i="1"/>
  <c r="AL47" i="1"/>
  <c r="AK43" i="1"/>
  <c r="O47" i="1"/>
  <c r="O8" i="1" s="1"/>
  <c r="N39" i="1"/>
  <c r="AT34" i="1"/>
  <c r="AJ17" i="1"/>
  <c r="AI13" i="1"/>
  <c r="L40" i="1"/>
  <c r="M48" i="1"/>
  <c r="AK18" i="1"/>
  <c r="O23" i="1"/>
  <c r="O15" i="1"/>
  <c r="AL58" i="1"/>
  <c r="AV54" i="1"/>
  <c r="AJ55" i="1"/>
  <c r="AK44" i="1"/>
  <c r="AK35" i="1"/>
  <c r="AK57" i="1"/>
  <c r="AJ53" i="1"/>
  <c r="AK7" i="1"/>
  <c r="AJ3" i="1"/>
  <c r="AJ67" i="1"/>
  <c r="AJ68" i="1" s="1"/>
  <c r="AI63" i="1"/>
  <c r="P22" i="1"/>
  <c r="P14" i="1"/>
  <c r="AI65" i="1" s="1"/>
  <c r="AT44" i="1"/>
  <c r="O10" i="1"/>
  <c r="AI34" i="1" s="1"/>
  <c r="O18" i="1"/>
  <c r="AK58" i="1" l="1"/>
  <c r="O11" i="1"/>
  <c r="O19" i="1"/>
  <c r="AI17" i="1"/>
  <c r="AH13" i="1"/>
  <c r="AJ18" i="1"/>
  <c r="AL38" i="1"/>
  <c r="AV34" i="1"/>
  <c r="AH63" i="1"/>
  <c r="AI67" i="1"/>
  <c r="AI68" i="1" s="1"/>
  <c r="O14" i="1"/>
  <c r="AH65" i="1" s="1"/>
  <c r="O22" i="1"/>
  <c r="N20" i="1"/>
  <c r="N12" i="1"/>
  <c r="AH45" i="1" s="1"/>
  <c r="AJ7" i="1"/>
  <c r="AJ8" i="1" s="1"/>
  <c r="AI3" i="1"/>
  <c r="L38" i="1"/>
  <c r="M46" i="1"/>
  <c r="AK47" i="1"/>
  <c r="AJ43" i="1"/>
  <c r="AJ57" i="1"/>
  <c r="AJ58" i="1" s="1"/>
  <c r="AI53" i="1"/>
  <c r="N10" i="1"/>
  <c r="AH34" i="1" s="1"/>
  <c r="N18" i="1"/>
  <c r="M13" i="1"/>
  <c r="M21" i="1"/>
  <c r="AL48" i="1"/>
  <c r="AV44" i="1"/>
  <c r="AJ35" i="1"/>
  <c r="AJ44" i="1"/>
  <c r="AI55" i="1"/>
  <c r="N23" i="1"/>
  <c r="N15" i="1"/>
  <c r="K40" i="1"/>
  <c r="L48" i="1"/>
  <c r="AK8" i="1"/>
  <c r="N47" i="1"/>
  <c r="N8" i="1" s="1"/>
  <c r="M39" i="1"/>
  <c r="AJ33" i="1"/>
  <c r="AK37" i="1"/>
  <c r="AK38" i="1" s="1"/>
  <c r="L35" i="1"/>
  <c r="M43" i="1"/>
  <c r="N44" i="1"/>
  <c r="M36" i="1"/>
  <c r="N45" i="1"/>
  <c r="M37" i="1"/>
  <c r="AI43" i="1" l="1"/>
  <c r="AJ47" i="1"/>
  <c r="AJ37" i="1"/>
  <c r="AJ38" i="1" s="1"/>
  <c r="AI33" i="1"/>
  <c r="M44" i="1"/>
  <c r="L36" i="1"/>
  <c r="AH67" i="1"/>
  <c r="AH68" i="1" s="1"/>
  <c r="AG63" i="1"/>
  <c r="L13" i="1"/>
  <c r="L21" i="1"/>
  <c r="M18" i="1"/>
  <c r="M10" i="1"/>
  <c r="AG34" i="1" s="1"/>
  <c r="M45" i="1"/>
  <c r="L37" i="1"/>
  <c r="N22" i="1"/>
  <c r="N14" i="1"/>
  <c r="AG65" i="1" s="1"/>
  <c r="AH53" i="1"/>
  <c r="AI57" i="1"/>
  <c r="AI58" i="1" s="1"/>
  <c r="M20" i="1"/>
  <c r="M12" i="1"/>
  <c r="AG45" i="1" s="1"/>
  <c r="L43" i="1"/>
  <c r="K35" i="1"/>
  <c r="M47" i="1"/>
  <c r="M8" i="1" s="1"/>
  <c r="L39" i="1"/>
  <c r="AK48" i="1"/>
  <c r="AH17" i="1"/>
  <c r="AG13" i="1"/>
  <c r="J40" i="1"/>
  <c r="K48" i="1"/>
  <c r="AI18" i="1"/>
  <c r="K38" i="1"/>
  <c r="L46" i="1"/>
  <c r="N11" i="1"/>
  <c r="N19" i="1"/>
  <c r="M15" i="1"/>
  <c r="M23" i="1"/>
  <c r="AI7" i="1"/>
  <c r="AI8" i="1" s="1"/>
  <c r="AH3" i="1"/>
  <c r="AI35" i="1"/>
  <c r="AH55" i="1"/>
  <c r="AI44" i="1"/>
  <c r="AF63" i="1" l="1"/>
  <c r="AG67" i="1"/>
  <c r="AG68" i="1" s="1"/>
  <c r="M22" i="1"/>
  <c r="M14" i="1"/>
  <c r="AF65" i="1" s="1"/>
  <c r="AH18" i="1"/>
  <c r="L10" i="1"/>
  <c r="AF34" i="1" s="1"/>
  <c r="L18" i="1"/>
  <c r="AH57" i="1"/>
  <c r="AH58" i="1" s="1"/>
  <c r="AG53" i="1"/>
  <c r="AH7" i="1"/>
  <c r="AH8" i="1" s="1"/>
  <c r="AG3" i="1"/>
  <c r="L44" i="1"/>
  <c r="K36" i="1"/>
  <c r="M19" i="1"/>
  <c r="M11" i="1"/>
  <c r="L45" i="1"/>
  <c r="K37" i="1"/>
  <c r="AG17" i="1"/>
  <c r="AF13" i="1"/>
  <c r="K39" i="1"/>
  <c r="L47" i="1"/>
  <c r="L8" i="1" s="1"/>
  <c r="AI37" i="1"/>
  <c r="AI38" i="1" s="1"/>
  <c r="AH33" i="1"/>
  <c r="L23" i="1"/>
  <c r="L15" i="1"/>
  <c r="L20" i="1"/>
  <c r="L12" i="1"/>
  <c r="AF45" i="1" s="1"/>
  <c r="AJ48" i="1"/>
  <c r="J48" i="1"/>
  <c r="I40" i="1"/>
  <c r="AH43" i="1"/>
  <c r="AI47" i="1"/>
  <c r="K21" i="1"/>
  <c r="K13" i="1"/>
  <c r="J35" i="1"/>
  <c r="K43" i="1"/>
  <c r="AH44" i="1"/>
  <c r="AH35" i="1"/>
  <c r="AG55" i="1"/>
  <c r="K46" i="1"/>
  <c r="J38" i="1"/>
  <c r="AG44" i="1" l="1"/>
  <c r="AG35" i="1"/>
  <c r="AF55" i="1"/>
  <c r="K10" i="1"/>
  <c r="AE34" i="1" s="1"/>
  <c r="K18" i="1"/>
  <c r="L11" i="1"/>
  <c r="L19" i="1"/>
  <c r="K20" i="1"/>
  <c r="K12" i="1"/>
  <c r="AE45" i="1" s="1"/>
  <c r="L14" i="1"/>
  <c r="AE65" i="1" s="1"/>
  <c r="L22" i="1"/>
  <c r="K44" i="1"/>
  <c r="J36" i="1"/>
  <c r="AG7" i="1"/>
  <c r="AG8" i="1" s="1"/>
  <c r="AF3" i="1"/>
  <c r="AF53" i="1"/>
  <c r="AG57" i="1"/>
  <c r="AG58" i="1" s="1"/>
  <c r="AH37" i="1"/>
  <c r="AH38" i="1" s="1"/>
  <c r="AG33" i="1"/>
  <c r="J43" i="1"/>
  <c r="I35" i="1"/>
  <c r="AE63" i="1"/>
  <c r="AF67" i="1"/>
  <c r="AF68" i="1" s="1"/>
  <c r="K45" i="1"/>
  <c r="J37" i="1"/>
  <c r="I48" i="1"/>
  <c r="H40" i="1"/>
  <c r="I38" i="1"/>
  <c r="J46" i="1"/>
  <c r="K23" i="1"/>
  <c r="K15" i="1"/>
  <c r="AG43" i="1"/>
  <c r="AH47" i="1"/>
  <c r="J39" i="1"/>
  <c r="K47" i="1"/>
  <c r="K8" i="1" s="1"/>
  <c r="AF17" i="1"/>
  <c r="AE13" i="1"/>
  <c r="AG18" i="1"/>
  <c r="J21" i="1"/>
  <c r="J13" i="1"/>
  <c r="AI48" i="1"/>
  <c r="AF7" i="1" l="1"/>
  <c r="AF8" i="1" s="1"/>
  <c r="AE3" i="1"/>
  <c r="I36" i="1"/>
  <c r="J44" i="1"/>
  <c r="J45" i="1"/>
  <c r="I37" i="1"/>
  <c r="J12" i="1"/>
  <c r="AD45" i="1" s="1"/>
  <c r="J20" i="1"/>
  <c r="J15" i="1"/>
  <c r="J23" i="1"/>
  <c r="I46" i="1"/>
  <c r="H38" i="1"/>
  <c r="AE67" i="1"/>
  <c r="AE68" i="1" s="1"/>
  <c r="AD63" i="1"/>
  <c r="H35" i="1"/>
  <c r="I43" i="1"/>
  <c r="AE53" i="1"/>
  <c r="AF57" i="1"/>
  <c r="AF58" i="1" s="1"/>
  <c r="I21" i="1"/>
  <c r="I13" i="1"/>
  <c r="K11" i="1"/>
  <c r="K19" i="1"/>
  <c r="J18" i="1"/>
  <c r="J10" i="1"/>
  <c r="AD34" i="1" s="1"/>
  <c r="AF33" i="1"/>
  <c r="AG37" i="1"/>
  <c r="AG38" i="1" s="1"/>
  <c r="H48" i="1"/>
  <c r="G40" i="1"/>
  <c r="K14" i="1"/>
  <c r="AD65" i="1" s="1"/>
  <c r="K22" i="1"/>
  <c r="AE17" i="1"/>
  <c r="AE18" i="1" s="1"/>
  <c r="AD13" i="1"/>
  <c r="AF18" i="1"/>
  <c r="AF44" i="1"/>
  <c r="AE55" i="1"/>
  <c r="AF35" i="1"/>
  <c r="J47" i="1"/>
  <c r="J8" i="1" s="1"/>
  <c r="I39" i="1"/>
  <c r="AH48" i="1"/>
  <c r="AF43" i="1"/>
  <c r="AG47" i="1"/>
  <c r="AG48" i="1" s="1"/>
  <c r="AD67" i="1" l="1"/>
  <c r="AD68" i="1" s="1"/>
  <c r="AC63" i="1"/>
  <c r="J14" i="1"/>
  <c r="AC65" i="1" s="1"/>
  <c r="J22" i="1"/>
  <c r="G48" i="1"/>
  <c r="F40" i="1"/>
  <c r="F48" i="1" s="1"/>
  <c r="I20" i="1"/>
  <c r="I12" i="1"/>
  <c r="AC45" i="1" s="1"/>
  <c r="I18" i="1"/>
  <c r="I10" i="1"/>
  <c r="AC34" i="1" s="1"/>
  <c r="J11" i="1"/>
  <c r="J19" i="1"/>
  <c r="H36" i="1"/>
  <c r="I44" i="1"/>
  <c r="H46" i="1"/>
  <c r="G38" i="1"/>
  <c r="H39" i="1"/>
  <c r="I47" i="1"/>
  <c r="I8" i="1" s="1"/>
  <c r="H37" i="1"/>
  <c r="I45" i="1"/>
  <c r="AE44" i="1"/>
  <c r="AE35" i="1"/>
  <c r="AD55" i="1"/>
  <c r="AF37" i="1"/>
  <c r="AF38" i="1" s="1"/>
  <c r="AE33" i="1"/>
  <c r="AD53" i="1"/>
  <c r="AE57" i="1"/>
  <c r="AE58" i="1" s="1"/>
  <c r="H13" i="1"/>
  <c r="H21" i="1"/>
  <c r="AE43" i="1"/>
  <c r="AF47" i="1"/>
  <c r="AF48" i="1" s="1"/>
  <c r="AE7" i="1"/>
  <c r="AE8" i="1" s="1"/>
  <c r="AD3" i="1"/>
  <c r="AD17" i="1"/>
  <c r="AD18" i="1" s="1"/>
  <c r="AC13" i="1"/>
  <c r="G35" i="1"/>
  <c r="H43" i="1"/>
  <c r="I23" i="1"/>
  <c r="I15" i="1"/>
  <c r="H45" i="1" l="1"/>
  <c r="G37" i="1"/>
  <c r="H18" i="1"/>
  <c r="H10" i="1"/>
  <c r="AB34" i="1" s="1"/>
  <c r="AE37" i="1"/>
  <c r="AE38" i="1" s="1"/>
  <c r="AD33" i="1"/>
  <c r="I22" i="1"/>
  <c r="I14" i="1"/>
  <c r="AB65" i="1" s="1"/>
  <c r="F38" i="1"/>
  <c r="F46" i="1" s="1"/>
  <c r="G46" i="1"/>
  <c r="AD44" i="1"/>
  <c r="AD35" i="1"/>
  <c r="AC55" i="1"/>
  <c r="AD57" i="1"/>
  <c r="AD58" i="1" s="1"/>
  <c r="AC53" i="1"/>
  <c r="H12" i="1"/>
  <c r="AB45" i="1" s="1"/>
  <c r="H20" i="1"/>
  <c r="AD7" i="1"/>
  <c r="AD8" i="1" s="1"/>
  <c r="AC3" i="1"/>
  <c r="G39" i="1"/>
  <c r="H47" i="1"/>
  <c r="H8" i="1" s="1"/>
  <c r="AC67" i="1"/>
  <c r="AC68" i="1" s="1"/>
  <c r="AB63" i="1"/>
  <c r="I19" i="1"/>
  <c r="I11" i="1"/>
  <c r="G43" i="1"/>
  <c r="F35" i="1"/>
  <c r="F43" i="1" s="1"/>
  <c r="G21" i="1"/>
  <c r="G13" i="1"/>
  <c r="H44" i="1"/>
  <c r="G36" i="1"/>
  <c r="H23" i="1"/>
  <c r="H15" i="1"/>
  <c r="AD43" i="1"/>
  <c r="AE47" i="1"/>
  <c r="AE48" i="1" s="1"/>
  <c r="AC17" i="1"/>
  <c r="AC18" i="1" s="1"/>
  <c r="AB13" i="1"/>
  <c r="H19" i="1" l="1"/>
  <c r="H11" i="1"/>
  <c r="H22" i="1"/>
  <c r="H14" i="1"/>
  <c r="AA65" i="1" s="1"/>
  <c r="F36" i="1"/>
  <c r="F44" i="1" s="1"/>
  <c r="G44" i="1"/>
  <c r="AB53" i="1"/>
  <c r="AC57" i="1"/>
  <c r="AC58" i="1" s="1"/>
  <c r="AC43" i="1"/>
  <c r="AD47" i="1"/>
  <c r="AD48" i="1" s="1"/>
  <c r="G47" i="1"/>
  <c r="G8" i="1" s="1"/>
  <c r="F39" i="1"/>
  <c r="F47" i="1" s="1"/>
  <c r="F8" i="1" s="1"/>
  <c r="G23" i="1"/>
  <c r="G15" i="1"/>
  <c r="F13" i="1"/>
  <c r="F21" i="1"/>
  <c r="AD37" i="1"/>
  <c r="AD38" i="1" s="1"/>
  <c r="AC33" i="1"/>
  <c r="AC35" i="1"/>
  <c r="AB55" i="1"/>
  <c r="AC44" i="1"/>
  <c r="AB67" i="1"/>
  <c r="AB68" i="1" s="1"/>
  <c r="AA63" i="1"/>
  <c r="AB17" i="1"/>
  <c r="AB18" i="1" s="1"/>
  <c r="AA13" i="1"/>
  <c r="AC7" i="1"/>
  <c r="AC8" i="1" s="1"/>
  <c r="AB3" i="1"/>
  <c r="G10" i="1"/>
  <c r="AA34" i="1" s="1"/>
  <c r="G18" i="1"/>
  <c r="G45" i="1"/>
  <c r="F37" i="1"/>
  <c r="F45" i="1" s="1"/>
  <c r="G20" i="1"/>
  <c r="G12" i="1"/>
  <c r="AA45" i="1" s="1"/>
  <c r="F18" i="1" l="1"/>
  <c r="F10" i="1"/>
  <c r="Z34" i="1" s="1"/>
  <c r="AA17" i="1"/>
  <c r="AA18" i="1" s="1"/>
  <c r="Z13" i="1"/>
  <c r="G14" i="1"/>
  <c r="Z65" i="1" s="1"/>
  <c r="G22" i="1"/>
  <c r="F23" i="1"/>
  <c r="F15" i="1"/>
  <c r="AC47" i="1"/>
  <c r="AC48" i="1" s="1"/>
  <c r="AB43" i="1"/>
  <c r="AA53" i="1"/>
  <c r="AB57" i="1"/>
  <c r="AB58" i="1" s="1"/>
  <c r="AA67" i="1"/>
  <c r="AA68" i="1" s="1"/>
  <c r="Z63" i="1"/>
  <c r="Y67" i="1" s="1"/>
  <c r="AQ64" i="1" s="1"/>
  <c r="AC37" i="1"/>
  <c r="AC38" i="1" s="1"/>
  <c r="AB33" i="1"/>
  <c r="F20" i="1"/>
  <c r="F12" i="1"/>
  <c r="Z45" i="1" s="1"/>
  <c r="AA55" i="1"/>
  <c r="AB35" i="1"/>
  <c r="AB44" i="1"/>
  <c r="AB7" i="1"/>
  <c r="AB8" i="1" s="1"/>
  <c r="AA3" i="1"/>
  <c r="G11" i="1"/>
  <c r="G19" i="1"/>
  <c r="F11" i="1" l="1"/>
  <c r="F19" i="1"/>
  <c r="Z55" i="1"/>
  <c r="AA44" i="1"/>
  <c r="AA35" i="1"/>
  <c r="AA7" i="1"/>
  <c r="AA8" i="1" s="1"/>
  <c r="Z3" i="1"/>
  <c r="Z67" i="1"/>
  <c r="AA43" i="1"/>
  <c r="AB47" i="1"/>
  <c r="AB48" i="1" s="1"/>
  <c r="AA33" i="1"/>
  <c r="AB37" i="1"/>
  <c r="AB38" i="1" s="1"/>
  <c r="F14" i="1"/>
  <c r="F22" i="1"/>
  <c r="Z53" i="1"/>
  <c r="Y57" i="1" s="1"/>
  <c r="AQ54" i="1" s="1"/>
  <c r="AA57" i="1"/>
  <c r="AA58" i="1" s="1"/>
  <c r="Y17" i="1"/>
  <c r="AQ14" i="1" s="1"/>
  <c r="Z17" i="1"/>
  <c r="AH19" i="1" l="1"/>
  <c r="AL19" i="1"/>
  <c r="AU14" i="1"/>
  <c r="AD19" i="1"/>
  <c r="Z18" i="1"/>
  <c r="Z19" i="1" s="1"/>
  <c r="AR14" i="1"/>
  <c r="AL69" i="1"/>
  <c r="AH69" i="1"/>
  <c r="AD69" i="1"/>
  <c r="Z68" i="1"/>
  <c r="Z69" i="1" s="1"/>
  <c r="Y70" i="1" s="1"/>
  <c r="AU64" i="1"/>
  <c r="AR64" i="1"/>
  <c r="Y7" i="1"/>
  <c r="AQ4" i="1" s="1"/>
  <c r="Z7" i="1"/>
  <c r="AA37" i="1"/>
  <c r="AA38" i="1" s="1"/>
  <c r="Z33" i="1"/>
  <c r="AA47" i="1"/>
  <c r="AA48" i="1" s="1"/>
  <c r="Z43" i="1"/>
  <c r="Z57" i="1"/>
  <c r="Z35" i="1"/>
  <c r="Z44" i="1"/>
  <c r="Y20" i="1" l="1"/>
  <c r="AS14" i="1" s="1"/>
  <c r="AS64" i="1"/>
  <c r="AQ66" i="1"/>
  <c r="AQ16" i="1"/>
  <c r="Z47" i="1"/>
  <c r="AU54" i="1"/>
  <c r="AL59" i="1"/>
  <c r="AD59" i="1"/>
  <c r="AH59" i="1"/>
  <c r="Z58" i="1"/>
  <c r="Z59" i="1" s="1"/>
  <c r="Y60" i="1" s="1"/>
  <c r="AS54" i="1" s="1"/>
  <c r="Y47" i="1"/>
  <c r="AQ44" i="1" s="1"/>
  <c r="AD9" i="1"/>
  <c r="AH9" i="1"/>
  <c r="AL9" i="1"/>
  <c r="AU4" i="1"/>
  <c r="Z8" i="1"/>
  <c r="Z9" i="1"/>
  <c r="AR4" i="1"/>
  <c r="Z37" i="1"/>
  <c r="AR54" i="1"/>
  <c r="Y37" i="1"/>
  <c r="AQ34" i="1" s="1"/>
  <c r="Y10" i="1" l="1"/>
  <c r="AS4" i="1" s="1"/>
  <c r="AD39" i="1"/>
  <c r="Z39" i="1"/>
  <c r="AU34" i="1"/>
  <c r="AL39" i="1"/>
  <c r="Z38" i="1"/>
  <c r="AH39" i="1"/>
  <c r="AQ56" i="1"/>
  <c r="AR34" i="1"/>
  <c r="AU44" i="1"/>
  <c r="AH49" i="1"/>
  <c r="AD49" i="1"/>
  <c r="Z49" i="1"/>
  <c r="AL49" i="1"/>
  <c r="Z48" i="1"/>
  <c r="AR44" i="1"/>
  <c r="Y50" i="1" l="1"/>
  <c r="AS44" i="1" s="1"/>
  <c r="Y40" i="1"/>
  <c r="AS34" i="1" s="1"/>
  <c r="AQ46" i="1"/>
  <c r="AQ6" i="1"/>
  <c r="AQ36" i="1" l="1"/>
</calcChain>
</file>

<file path=xl/sharedStrings.xml><?xml version="1.0" encoding="utf-8"?>
<sst xmlns="http://schemas.openxmlformats.org/spreadsheetml/2006/main" count="228" uniqueCount="66">
  <si>
    <t xml:space="preserve">A = </t>
  </si>
  <si>
    <t xml:space="preserve">C = </t>
  </si>
  <si>
    <t>МИН</t>
  </si>
  <si>
    <t>МАКС</t>
  </si>
  <si>
    <t>CF</t>
  </si>
  <si>
    <t>OF</t>
  </si>
  <si>
    <t>ZF</t>
  </si>
  <si>
    <t>AF</t>
  </si>
  <si>
    <t>SF</t>
  </si>
  <si>
    <t>PF</t>
  </si>
  <si>
    <t>ОДЗ для 16-разрядного знакого формата</t>
  </si>
  <si>
    <t>X1=</t>
  </si>
  <si>
    <t xml:space="preserve">B1 = </t>
  </si>
  <si>
    <t>X2=</t>
  </si>
  <si>
    <t xml:space="preserve">B2 = </t>
  </si>
  <si>
    <t>Если рассматривать ОДЗ для определения Xов</t>
  </si>
  <si>
    <t>X3=</t>
  </si>
  <si>
    <t xml:space="preserve">A + C = </t>
  </si>
  <si>
    <t xml:space="preserve">B3 = </t>
  </si>
  <si>
    <t>+</t>
  </si>
  <si>
    <t>C</t>
  </si>
  <si>
    <t>---</t>
  </si>
  <si>
    <t>A</t>
  </si>
  <si>
    <t>X4=</t>
  </si>
  <si>
    <t xml:space="preserve">A + C + C = </t>
  </si>
  <si>
    <t xml:space="preserve">B4 = </t>
  </si>
  <si>
    <t xml:space="preserve">B1 + B2 = </t>
  </si>
  <si>
    <t>X5=</t>
  </si>
  <si>
    <t xml:space="preserve">C — A = </t>
  </si>
  <si>
    <t>B5 =</t>
  </si>
  <si>
    <t>X6=</t>
  </si>
  <si>
    <t xml:space="preserve">65536 — X4 = </t>
  </si>
  <si>
    <t>B6 =</t>
  </si>
  <si>
    <t>X1 + X2</t>
  </si>
  <si>
    <t>X7=</t>
  </si>
  <si>
    <t xml:space="preserve">-X1 = </t>
  </si>
  <si>
    <t xml:space="preserve">B7 = </t>
  </si>
  <si>
    <t>X8=</t>
  </si>
  <si>
    <t xml:space="preserve">-X2 = </t>
  </si>
  <si>
    <t xml:space="preserve">B8 = </t>
  </si>
  <si>
    <t>X9=</t>
  </si>
  <si>
    <t xml:space="preserve">-X3 = </t>
  </si>
  <si>
    <t xml:space="preserve">B9 = </t>
  </si>
  <si>
    <t>X10=</t>
  </si>
  <si>
    <t xml:space="preserve">-X4 = </t>
  </si>
  <si>
    <t xml:space="preserve">B10 = </t>
  </si>
  <si>
    <t>X11=</t>
  </si>
  <si>
    <t xml:space="preserve">-X5 = </t>
  </si>
  <si>
    <t xml:space="preserve">B11 = </t>
  </si>
  <si>
    <t>X12=</t>
  </si>
  <si>
    <t xml:space="preserve">-X6 = </t>
  </si>
  <si>
    <t xml:space="preserve">B12 = </t>
  </si>
  <si>
    <t xml:space="preserve">B2 + B3 = </t>
  </si>
  <si>
    <t>X2 + X3</t>
  </si>
  <si>
    <t xml:space="preserve">B2 + B7 = </t>
  </si>
  <si>
    <t>X2 + X7</t>
  </si>
  <si>
    <t>переносы между битами для допкода</t>
  </si>
  <si>
    <t xml:space="preserve">B7 + B8 = </t>
  </si>
  <si>
    <t>X7 + X8</t>
  </si>
  <si>
    <t>Отрицательные числа</t>
  </si>
  <si>
    <t xml:space="preserve">B8 + B9 = </t>
  </si>
  <si>
    <t>X8 + X9</t>
  </si>
  <si>
    <t xml:space="preserve">B1 + B8 = </t>
  </si>
  <si>
    <t>X1 + X8</t>
  </si>
  <si>
    <t xml:space="preserve">B3 + B11 = </t>
  </si>
  <si>
    <t>X3 + 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</si>
</sst>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8"/>
      <color theme="3"/>
      <name val="Arial"/>
      <family val="2"/>
      <charset val="204"/>
      <scheme val="major"/>
    </font>
    <font>
      <b/>
      <sz val="15"/>
      <color theme="3"/>
      <name val="Arial"/>
      <family val="2"/>
      <charset val="204"/>
      <scheme val="minor"/>
    </font>
    <font>
      <b/>
      <sz val="13"/>
      <color theme="3"/>
      <name val="Arial"/>
      <family val="2"/>
      <charset val="204"/>
      <scheme val="minor"/>
    </font>
    <font>
      <b/>
      <sz val="11"/>
      <color theme="3"/>
      <name val="Arial"/>
      <family val="2"/>
      <charset val="204"/>
      <scheme val="minor"/>
    </font>
    <font>
      <sz val="11"/>
      <color rgb="FF006100"/>
      <name val="Arial"/>
      <family val="2"/>
      <charset val="204"/>
      <scheme val="minor"/>
    </font>
    <font>
      <sz val="11"/>
      <color rgb="FF9C0006"/>
      <name val="Arial"/>
      <family val="2"/>
      <charset val="204"/>
      <scheme val="minor"/>
    </font>
    <font>
      <sz val="11"/>
      <color rgb="FF9C5700"/>
      <name val="Arial"/>
      <family val="2"/>
      <charset val="204"/>
      <scheme val="minor"/>
    </font>
    <font>
      <sz val="11"/>
      <color rgb="FF3F3F76"/>
      <name val="Arial"/>
      <family val="2"/>
      <charset val="204"/>
      <scheme val="minor"/>
    </font>
    <font>
      <b/>
      <sz val="11"/>
      <color rgb="FF3F3F3F"/>
      <name val="Arial"/>
      <family val="2"/>
      <charset val="204"/>
      <scheme val="minor"/>
    </font>
    <font>
      <b/>
      <sz val="11"/>
      <color rgb="FFFA7D00"/>
      <name val="Arial"/>
      <family val="2"/>
      <charset val="204"/>
      <scheme val="minor"/>
    </font>
    <font>
      <sz val="11"/>
      <color rgb="FFFA7D00"/>
      <name val="Arial"/>
      <family val="2"/>
      <charset val="204"/>
      <scheme val="minor"/>
    </font>
    <font>
      <b/>
      <sz val="11"/>
      <color theme="0"/>
      <name val="Arial"/>
      <family val="2"/>
      <charset val="204"/>
      <scheme val="minor"/>
    </font>
    <font>
      <sz val="11"/>
      <color rgb="FFFF0000"/>
      <name val="Arial"/>
      <family val="2"/>
      <charset val="204"/>
      <scheme val="minor"/>
    </font>
    <font>
      <i/>
      <sz val="11"/>
      <color rgb="FF7F7F7F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  <font>
      <sz val="11"/>
      <color theme="0"/>
      <name val="Arial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0"/>
  <sheetViews>
    <sheetView tabSelected="1" zoomScale="120" zoomScaleNormal="120" workbookViewId="0">
      <selection activeCell="V9" sqref="V9"/>
    </sheetView>
  </sheetViews>
  <sheetFormatPr defaultColWidth="11.5" defaultRowHeight="12.75" customHeight="1" x14ac:dyDescent="0.3"/>
  <cols>
    <col min="2" max="2" width="13.5" customWidth="1"/>
    <col min="4" max="4" width="4.4140625" customWidth="1"/>
    <col min="5" max="5" width="6.75" customWidth="1"/>
    <col min="6" max="19" width="2.5" customWidth="1"/>
    <col min="20" max="22" width="2.4140625" customWidth="1"/>
    <col min="23" max="23" width="4.58203125" customWidth="1"/>
    <col min="24" max="24" width="9.58203125" customWidth="1"/>
    <col min="25" max="39" width="2.33203125" customWidth="1"/>
    <col min="40" max="40" width="2.75" customWidth="1"/>
    <col min="41" max="41" width="2.33203125" customWidth="1"/>
    <col min="42" max="42" width="3.33203125" customWidth="1"/>
    <col min="43" max="43" width="3.4140625" customWidth="1"/>
    <col min="44" max="47" width="3.33203125" customWidth="1"/>
    <col min="48" max="48" width="3.83203125" customWidth="1"/>
    <col min="49" max="49" width="19.5" customWidth="1"/>
    <col min="50" max="50" width="36.33203125" customWidth="1"/>
  </cols>
  <sheetData>
    <row r="1" spans="1:52" ht="14" x14ac:dyDescent="0.3">
      <c r="B1" t="s">
        <v>0</v>
      </c>
      <c r="C1">
        <v>1482</v>
      </c>
    </row>
    <row r="2" spans="1:52" ht="14" x14ac:dyDescent="0.3">
      <c r="B2" t="s">
        <v>1</v>
      </c>
      <c r="C2">
        <v>30584</v>
      </c>
      <c r="AY2" t="s">
        <v>2</v>
      </c>
      <c r="AZ2" t="s">
        <v>3</v>
      </c>
    </row>
    <row r="3" spans="1:52" ht="14" x14ac:dyDescent="0.3">
      <c r="Z3" t="b">
        <f t="shared" ref="Z3:AM3" si="0">IF(AA4+AA5+AA3 &gt; 1,TRUE())</f>
        <v>0</v>
      </c>
      <c r="AA3" t="b">
        <f t="shared" si="0"/>
        <v>0</v>
      </c>
      <c r="AB3" t="b">
        <f t="shared" si="0"/>
        <v>0</v>
      </c>
      <c r="AC3" t="b">
        <f t="shared" si="0"/>
        <v>0</v>
      </c>
      <c r="AD3" t="b">
        <f t="shared" si="0"/>
        <v>1</v>
      </c>
      <c r="AE3" t="b">
        <f t="shared" si="0"/>
        <v>1</v>
      </c>
      <c r="AF3" t="b">
        <f t="shared" si="0"/>
        <v>1</v>
      </c>
      <c r="AG3" t="b">
        <f t="shared" si="0"/>
        <v>1</v>
      </c>
      <c r="AH3" t="b">
        <f t="shared" si="0"/>
        <v>1</v>
      </c>
      <c r="AI3" t="b">
        <f t="shared" si="0"/>
        <v>1</v>
      </c>
      <c r="AJ3" t="b">
        <f t="shared" si="0"/>
        <v>1</v>
      </c>
      <c r="AK3" t="b">
        <f t="shared" si="0"/>
        <v>1</v>
      </c>
      <c r="AL3" t="b">
        <f t="shared" si="0"/>
        <v>0</v>
      </c>
      <c r="AM3" t="b">
        <f t="shared" si="0"/>
        <v>0</v>
      </c>
      <c r="AN3" t="b">
        <f>IF(AO4+AO5 &gt; 1,TRUE())</f>
        <v>0</v>
      </c>
      <c r="AQ3" t="s">
        <v>4</v>
      </c>
      <c r="AR3" t="s">
        <v>5</v>
      </c>
      <c r="AS3" t="s">
        <v>6</v>
      </c>
      <c r="AT3" t="s">
        <v>7</v>
      </c>
      <c r="AU3" t="s">
        <v>8</v>
      </c>
      <c r="AV3" t="s">
        <v>9</v>
      </c>
      <c r="AX3" t="s">
        <v>10</v>
      </c>
      <c r="AY3">
        <v>-32768</v>
      </c>
      <c r="AZ3">
        <v>32767</v>
      </c>
    </row>
    <row r="4" spans="1:52" ht="14" x14ac:dyDescent="0.3">
      <c r="A4" t="s">
        <v>11</v>
      </c>
      <c r="B4" t="s">
        <v>0</v>
      </c>
      <c r="C4">
        <f>C1</f>
        <v>1482</v>
      </c>
      <c r="E4" t="s">
        <v>12</v>
      </c>
      <c r="F4">
        <f t="shared" ref="F4:U4" si="1">IF($C4&gt;0, F28, F43)</f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1</v>
      </c>
      <c r="L4">
        <f t="shared" si="1"/>
        <v>0</v>
      </c>
      <c r="M4">
        <f t="shared" si="1"/>
        <v>1</v>
      </c>
      <c r="N4">
        <f t="shared" si="1"/>
        <v>1</v>
      </c>
      <c r="O4">
        <f t="shared" si="1"/>
        <v>1</v>
      </c>
      <c r="P4">
        <f t="shared" si="1"/>
        <v>0</v>
      </c>
      <c r="Q4">
        <f t="shared" si="1"/>
        <v>0</v>
      </c>
      <c r="R4">
        <f t="shared" si="1"/>
        <v>1</v>
      </c>
      <c r="S4">
        <f t="shared" si="1"/>
        <v>0</v>
      </c>
      <c r="T4">
        <f t="shared" si="1"/>
        <v>1</v>
      </c>
      <c r="U4">
        <f t="shared" si="1"/>
        <v>0</v>
      </c>
      <c r="X4" t="str">
        <f>E4</f>
        <v xml:space="preserve">B1 = </v>
      </c>
      <c r="Z4">
        <f t="shared" ref="Z4:AO5" si="2">F4</f>
        <v>0</v>
      </c>
      <c r="AA4">
        <f t="shared" si="2"/>
        <v>0</v>
      </c>
      <c r="AB4">
        <f t="shared" si="2"/>
        <v>0</v>
      </c>
      <c r="AC4">
        <f t="shared" si="2"/>
        <v>0</v>
      </c>
      <c r="AD4">
        <f t="shared" si="2"/>
        <v>0</v>
      </c>
      <c r="AE4">
        <f t="shared" si="2"/>
        <v>1</v>
      </c>
      <c r="AF4">
        <f t="shared" si="2"/>
        <v>0</v>
      </c>
      <c r="AG4">
        <f t="shared" si="2"/>
        <v>1</v>
      </c>
      <c r="AH4">
        <f t="shared" si="2"/>
        <v>1</v>
      </c>
      <c r="AI4">
        <f t="shared" si="2"/>
        <v>1</v>
      </c>
      <c r="AJ4">
        <f t="shared" si="2"/>
        <v>0</v>
      </c>
      <c r="AK4">
        <f t="shared" si="2"/>
        <v>0</v>
      </c>
      <c r="AL4">
        <f t="shared" si="2"/>
        <v>1</v>
      </c>
      <c r="AM4">
        <f t="shared" si="2"/>
        <v>0</v>
      </c>
      <c r="AN4">
        <f t="shared" si="2"/>
        <v>1</v>
      </c>
      <c r="AO4">
        <f t="shared" si="2"/>
        <v>0</v>
      </c>
      <c r="AQ4">
        <f>Y7</f>
        <v>0</v>
      </c>
      <c r="AR4">
        <f>IF(AND(Z4 = Z5, NOT(Z5 = Z7)), 1, 0)</f>
        <v>0</v>
      </c>
      <c r="AS4">
        <f>IF(Y10 = 0,1,0)</f>
        <v>0</v>
      </c>
      <c r="AT4">
        <f>IF(AL3+AL4+AL5 &gt; 1, 1, 0)</f>
        <v>1</v>
      </c>
      <c r="AU4">
        <f>IF(Z7,0,1)</f>
        <v>1</v>
      </c>
      <c r="AV4">
        <f>IF(MOD(SUM(AL7:AO7),2) = 0, 1,0)</f>
        <v>0</v>
      </c>
    </row>
    <row r="5" spans="1:52" ht="14" x14ac:dyDescent="0.3">
      <c r="A5" t="s">
        <v>13</v>
      </c>
      <c r="B5" t="s">
        <v>1</v>
      </c>
      <c r="C5">
        <f>C2</f>
        <v>30584</v>
      </c>
      <c r="E5" t="s">
        <v>14</v>
      </c>
      <c r="F5">
        <f t="shared" ref="F5:U5" si="3">IF($C5&gt;0, F29, F44)</f>
        <v>0</v>
      </c>
      <c r="G5">
        <f t="shared" si="3"/>
        <v>1</v>
      </c>
      <c r="H5">
        <f t="shared" si="3"/>
        <v>1</v>
      </c>
      <c r="I5">
        <f t="shared" si="3"/>
        <v>1</v>
      </c>
      <c r="J5">
        <f t="shared" si="3"/>
        <v>0</v>
      </c>
      <c r="K5">
        <f t="shared" si="3"/>
        <v>1</v>
      </c>
      <c r="L5">
        <f t="shared" si="3"/>
        <v>1</v>
      </c>
      <c r="M5">
        <f t="shared" si="3"/>
        <v>1</v>
      </c>
      <c r="N5">
        <f t="shared" si="3"/>
        <v>0</v>
      </c>
      <c r="O5">
        <f t="shared" si="3"/>
        <v>1</v>
      </c>
      <c r="P5">
        <f t="shared" si="3"/>
        <v>1</v>
      </c>
      <c r="Q5">
        <f t="shared" si="3"/>
        <v>1</v>
      </c>
      <c r="R5">
        <f t="shared" si="3"/>
        <v>1</v>
      </c>
      <c r="S5">
        <f t="shared" si="3"/>
        <v>0</v>
      </c>
      <c r="T5">
        <f t="shared" si="3"/>
        <v>0</v>
      </c>
      <c r="U5">
        <f t="shared" si="3"/>
        <v>0</v>
      </c>
      <c r="X5" t="str">
        <f>E5</f>
        <v xml:space="preserve">B2 = </v>
      </c>
      <c r="Z5">
        <f t="shared" si="2"/>
        <v>0</v>
      </c>
      <c r="AA5">
        <f t="shared" si="2"/>
        <v>1</v>
      </c>
      <c r="AB5">
        <f t="shared" si="2"/>
        <v>1</v>
      </c>
      <c r="AC5">
        <f t="shared" si="2"/>
        <v>1</v>
      </c>
      <c r="AD5">
        <f t="shared" si="2"/>
        <v>0</v>
      </c>
      <c r="AE5">
        <f t="shared" si="2"/>
        <v>1</v>
      </c>
      <c r="AF5">
        <f t="shared" si="2"/>
        <v>1</v>
      </c>
      <c r="AG5">
        <f t="shared" si="2"/>
        <v>1</v>
      </c>
      <c r="AH5">
        <f t="shared" si="2"/>
        <v>0</v>
      </c>
      <c r="AI5">
        <f t="shared" si="2"/>
        <v>1</v>
      </c>
      <c r="AJ5">
        <f t="shared" si="2"/>
        <v>1</v>
      </c>
      <c r="AK5">
        <f t="shared" si="2"/>
        <v>1</v>
      </c>
      <c r="AL5">
        <f t="shared" si="2"/>
        <v>1</v>
      </c>
      <c r="AM5">
        <f t="shared" si="2"/>
        <v>0</v>
      </c>
      <c r="AN5">
        <f t="shared" si="2"/>
        <v>0</v>
      </c>
      <c r="AO5">
        <f t="shared" si="2"/>
        <v>0</v>
      </c>
      <c r="AX5" t="s">
        <v>15</v>
      </c>
    </row>
    <row r="6" spans="1:52" ht="14" x14ac:dyDescent="0.3">
      <c r="A6" t="s">
        <v>16</v>
      </c>
      <c r="B6" t="s">
        <v>17</v>
      </c>
      <c r="C6">
        <f>C1+C2</f>
        <v>32066</v>
      </c>
      <c r="E6" t="s">
        <v>18</v>
      </c>
      <c r="F6">
        <f t="shared" ref="F6:U6" si="4">IF($C6&gt;0, F30, F45)</f>
        <v>0</v>
      </c>
      <c r="G6">
        <f t="shared" si="4"/>
        <v>1</v>
      </c>
      <c r="H6">
        <f t="shared" si="4"/>
        <v>1</v>
      </c>
      <c r="I6">
        <f t="shared" si="4"/>
        <v>1</v>
      </c>
      <c r="J6">
        <f t="shared" si="4"/>
        <v>1</v>
      </c>
      <c r="K6">
        <f t="shared" si="4"/>
        <v>1</v>
      </c>
      <c r="L6">
        <f t="shared" si="4"/>
        <v>0</v>
      </c>
      <c r="M6">
        <f t="shared" si="4"/>
        <v>1</v>
      </c>
      <c r="N6">
        <f t="shared" si="4"/>
        <v>0</v>
      </c>
      <c r="O6">
        <f t="shared" si="4"/>
        <v>1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1</v>
      </c>
      <c r="U6">
        <f t="shared" si="4"/>
        <v>0</v>
      </c>
      <c r="X6" t="s">
        <v>19</v>
      </c>
      <c r="Y6" t="s">
        <v>20</v>
      </c>
      <c r="Z6" t="s">
        <v>21</v>
      </c>
      <c r="AA6" t="s">
        <v>21</v>
      </c>
      <c r="AB6" t="s">
        <v>21</v>
      </c>
      <c r="AC6" t="s">
        <v>21</v>
      </c>
      <c r="AD6" t="s">
        <v>21</v>
      </c>
      <c r="AE6" t="s">
        <v>21</v>
      </c>
      <c r="AF6" t="s">
        <v>21</v>
      </c>
      <c r="AG6" t="s">
        <v>21</v>
      </c>
      <c r="AH6" t="s">
        <v>21</v>
      </c>
      <c r="AI6" t="s">
        <v>21</v>
      </c>
      <c r="AJ6" t="s">
        <v>21</v>
      </c>
      <c r="AK6" t="s">
        <v>21</v>
      </c>
      <c r="AL6" t="s">
        <v>21</v>
      </c>
      <c r="AM6" t="s">
        <v>21</v>
      </c>
      <c r="AN6" t="s">
        <v>21</v>
      </c>
      <c r="AO6" t="s">
        <v>21</v>
      </c>
      <c r="AQ6" s="3" t="str">
        <f>"при сумме "&amp;IF(Z4=Z5,IF(Z4,"отрицательных","положительных"),"")&amp;" чисел "&amp;" получено "&amp;CHAR(10)&amp;IF(Z7,"отрицательное","положительное")&amp;"  число."&amp;CHAR(10)&amp;IF(NOT(AQ4),"Не происходит перноса","Происходит перенос")&amp;CHAR(10)&amp;"и "&amp;IF(NOT(AR4),"не происходит переполнения","происходит переполнение")&amp;"."&amp;CHAR(10)&amp;"Выражение вычислено "&amp;IF(X10=Y10,"корректно","некорректно")</f>
        <v>при сумме положительных чисел  получено 
положительное  число.
Не происходит перноса
и не происходит переполнения.
Выражение вычислено корректно</v>
      </c>
      <c r="AR6" s="3"/>
      <c r="AS6" s="3"/>
      <c r="AT6" s="3"/>
      <c r="AU6" s="3"/>
      <c r="AV6" s="3"/>
      <c r="AW6" s="3"/>
      <c r="AX6" t="s">
        <v>22</v>
      </c>
      <c r="AY6">
        <f>-32768/2</f>
        <v>-16384</v>
      </c>
      <c r="AZ6">
        <f>32766/2</f>
        <v>16383</v>
      </c>
    </row>
    <row r="7" spans="1:52" ht="14" x14ac:dyDescent="0.3">
      <c r="A7" t="s">
        <v>23</v>
      </c>
      <c r="B7" t="s">
        <v>24</v>
      </c>
      <c r="C7">
        <f>C1+C2+C2</f>
        <v>62650</v>
      </c>
      <c r="E7" t="s">
        <v>25</v>
      </c>
      <c r="F7">
        <f t="shared" ref="F7:U7" si="5">IF($C7&gt;0, F31, F46)</f>
        <v>1</v>
      </c>
      <c r="G7">
        <f t="shared" si="5"/>
        <v>1</v>
      </c>
      <c r="H7">
        <f t="shared" si="5"/>
        <v>1</v>
      </c>
      <c r="I7">
        <f t="shared" si="5"/>
        <v>1</v>
      </c>
      <c r="J7">
        <f t="shared" si="5"/>
        <v>0</v>
      </c>
      <c r="K7">
        <f t="shared" si="5"/>
        <v>1</v>
      </c>
      <c r="L7">
        <f t="shared" si="5"/>
        <v>0</v>
      </c>
      <c r="M7">
        <f t="shared" si="5"/>
        <v>0</v>
      </c>
      <c r="N7">
        <f t="shared" si="5"/>
        <v>1</v>
      </c>
      <c r="O7">
        <f t="shared" si="5"/>
        <v>0</v>
      </c>
      <c r="P7">
        <f t="shared" si="5"/>
        <v>1</v>
      </c>
      <c r="Q7">
        <f t="shared" si="5"/>
        <v>1</v>
      </c>
      <c r="R7">
        <f t="shared" si="5"/>
        <v>1</v>
      </c>
      <c r="S7">
        <f t="shared" si="5"/>
        <v>0</v>
      </c>
      <c r="T7">
        <f t="shared" si="5"/>
        <v>1</v>
      </c>
      <c r="U7">
        <f t="shared" si="5"/>
        <v>0</v>
      </c>
      <c r="X7" t="s">
        <v>26</v>
      </c>
      <c r="Y7">
        <f>IF(Z3+Z4+Z5 &gt; 1, 1, 0)</f>
        <v>0</v>
      </c>
      <c r="Z7">
        <f t="shared" ref="Z7:AN7" si="6">MOD(Z3+Z4+Z5,2)</f>
        <v>0</v>
      </c>
      <c r="AA7">
        <f t="shared" si="6"/>
        <v>1</v>
      </c>
      <c r="AB7">
        <f t="shared" si="6"/>
        <v>1</v>
      </c>
      <c r="AC7">
        <f t="shared" si="6"/>
        <v>1</v>
      </c>
      <c r="AD7">
        <f t="shared" si="6"/>
        <v>1</v>
      </c>
      <c r="AE7">
        <f t="shared" si="6"/>
        <v>1</v>
      </c>
      <c r="AF7">
        <f t="shared" si="6"/>
        <v>0</v>
      </c>
      <c r="AG7">
        <f t="shared" si="6"/>
        <v>1</v>
      </c>
      <c r="AH7">
        <f t="shared" si="6"/>
        <v>0</v>
      </c>
      <c r="AI7">
        <f t="shared" si="6"/>
        <v>1</v>
      </c>
      <c r="AJ7">
        <f t="shared" si="6"/>
        <v>0</v>
      </c>
      <c r="AK7">
        <f t="shared" si="6"/>
        <v>0</v>
      </c>
      <c r="AL7">
        <f t="shared" si="6"/>
        <v>0</v>
      </c>
      <c r="AM7">
        <f t="shared" si="6"/>
        <v>0</v>
      </c>
      <c r="AN7">
        <f t="shared" si="6"/>
        <v>1</v>
      </c>
      <c r="AO7">
        <f>MOD(AO4+AO5,2)</f>
        <v>0</v>
      </c>
      <c r="AQ7" s="3"/>
      <c r="AR7" s="3"/>
      <c r="AS7" s="3"/>
      <c r="AT7" s="3"/>
      <c r="AU7" s="3"/>
      <c r="AV7" s="3"/>
      <c r="AW7" s="3"/>
      <c r="AX7" t="s">
        <v>20</v>
      </c>
      <c r="AY7">
        <f>AY6/2</f>
        <v>-8192</v>
      </c>
      <c r="AZ7">
        <f>(AZ6-1)/2</f>
        <v>8191</v>
      </c>
    </row>
    <row r="8" spans="1:52" ht="14" x14ac:dyDescent="0.3">
      <c r="A8" t="s">
        <v>27</v>
      </c>
      <c r="B8" t="s">
        <v>28</v>
      </c>
      <c r="C8">
        <f>C2-C1</f>
        <v>29102</v>
      </c>
      <c r="E8" t="s">
        <v>29</v>
      </c>
      <c r="F8">
        <f t="shared" ref="F8:U8" si="7">IF($C8&gt;0, F32, F47)</f>
        <v>0</v>
      </c>
      <c r="G8">
        <f t="shared" si="7"/>
        <v>1</v>
      </c>
      <c r="H8">
        <f t="shared" si="7"/>
        <v>1</v>
      </c>
      <c r="I8">
        <f t="shared" si="7"/>
        <v>1</v>
      </c>
      <c r="J8">
        <f t="shared" si="7"/>
        <v>0</v>
      </c>
      <c r="K8">
        <f t="shared" si="7"/>
        <v>0</v>
      </c>
      <c r="L8">
        <f t="shared" si="7"/>
        <v>0</v>
      </c>
      <c r="M8">
        <f t="shared" si="7"/>
        <v>1</v>
      </c>
      <c r="N8">
        <f t="shared" si="7"/>
        <v>1</v>
      </c>
      <c r="O8">
        <f t="shared" si="7"/>
        <v>0</v>
      </c>
      <c r="P8">
        <f t="shared" si="7"/>
        <v>1</v>
      </c>
      <c r="Q8">
        <f t="shared" si="7"/>
        <v>0</v>
      </c>
      <c r="R8">
        <f t="shared" si="7"/>
        <v>1</v>
      </c>
      <c r="S8">
        <f t="shared" si="7"/>
        <v>1</v>
      </c>
      <c r="T8">
        <f t="shared" si="7"/>
        <v>1</v>
      </c>
      <c r="U8">
        <f t="shared" si="7"/>
        <v>0</v>
      </c>
      <c r="Z8">
        <f t="shared" ref="Z8:AM8" si="8">MOD(NOT(Z7) + IF(AND(NOT(AA7), NOT(AA8)),1,0),2)</f>
        <v>1</v>
      </c>
      <c r="AA8">
        <f t="shared" si="8"/>
        <v>0</v>
      </c>
      <c r="AB8">
        <f t="shared" si="8"/>
        <v>0</v>
      </c>
      <c r="AC8">
        <f t="shared" si="8"/>
        <v>0</v>
      </c>
      <c r="AD8">
        <f t="shared" si="8"/>
        <v>0</v>
      </c>
      <c r="AE8">
        <f t="shared" si="8"/>
        <v>0</v>
      </c>
      <c r="AF8">
        <f t="shared" si="8"/>
        <v>1</v>
      </c>
      <c r="AG8">
        <f t="shared" si="8"/>
        <v>0</v>
      </c>
      <c r="AH8">
        <f t="shared" si="8"/>
        <v>1</v>
      </c>
      <c r="AI8">
        <f t="shared" si="8"/>
        <v>0</v>
      </c>
      <c r="AJ8">
        <f t="shared" si="8"/>
        <v>1</v>
      </c>
      <c r="AK8">
        <f t="shared" si="8"/>
        <v>1</v>
      </c>
      <c r="AL8">
        <f t="shared" si="8"/>
        <v>1</v>
      </c>
      <c r="AM8">
        <f t="shared" si="8"/>
        <v>1</v>
      </c>
      <c r="AN8">
        <f>MOD(NOT(AN7)+IF(NOT(AO7)+1 &gt; 1, 1, 0), 2)</f>
        <v>1</v>
      </c>
      <c r="AO8">
        <f>MOD(NOT(AO7) + 1, 2)</f>
        <v>0</v>
      </c>
      <c r="AQ8" s="3"/>
      <c r="AR8" s="3"/>
      <c r="AS8" s="3"/>
      <c r="AT8" s="3"/>
      <c r="AU8" s="3"/>
      <c r="AV8" s="3"/>
      <c r="AW8" s="3"/>
    </row>
    <row r="9" spans="1:52" ht="14" x14ac:dyDescent="0.3">
      <c r="A9" t="s">
        <v>30</v>
      </c>
      <c r="B9" t="s">
        <v>31</v>
      </c>
      <c r="C9">
        <f>65536-C7</f>
        <v>2886</v>
      </c>
      <c r="E9" t="s">
        <v>32</v>
      </c>
      <c r="F9">
        <f t="shared" ref="F9:U9" si="9">IF($C9&gt;0, F33, F48)</f>
        <v>0</v>
      </c>
      <c r="G9">
        <f t="shared" si="9"/>
        <v>0</v>
      </c>
      <c r="H9">
        <f t="shared" si="9"/>
        <v>0</v>
      </c>
      <c r="I9">
        <f t="shared" si="9"/>
        <v>0</v>
      </c>
      <c r="J9">
        <f t="shared" si="9"/>
        <v>1</v>
      </c>
      <c r="K9">
        <f t="shared" si="9"/>
        <v>0</v>
      </c>
      <c r="L9">
        <f t="shared" si="9"/>
        <v>1</v>
      </c>
      <c r="M9">
        <f t="shared" si="9"/>
        <v>1</v>
      </c>
      <c r="N9">
        <f t="shared" si="9"/>
        <v>0</v>
      </c>
      <c r="O9">
        <f t="shared" si="9"/>
        <v>1</v>
      </c>
      <c r="P9">
        <f t="shared" si="9"/>
        <v>0</v>
      </c>
      <c r="Q9">
        <f t="shared" si="9"/>
        <v>0</v>
      </c>
      <c r="R9">
        <f t="shared" si="9"/>
        <v>0</v>
      </c>
      <c r="S9">
        <f t="shared" si="9"/>
        <v>1</v>
      </c>
      <c r="T9">
        <f t="shared" si="9"/>
        <v>1</v>
      </c>
      <c r="U9">
        <f t="shared" si="9"/>
        <v>0</v>
      </c>
      <c r="X9" t="s">
        <v>33</v>
      </c>
      <c r="Z9" s="1" t="str">
        <f>IF(NOT(Z7), BIN2HEX($Z7&amp;$AA7&amp;$AB7&amp;AC7), BIN2HEX($Z8&amp;$AA8&amp;$AB8&amp;AC8))</f>
        <v>7</v>
      </c>
      <c r="AA9" s="1"/>
      <c r="AB9" s="1"/>
      <c r="AC9" s="1"/>
      <c r="AD9" s="1" t="str">
        <f>IF(NOT(Z7),BIN2HEX($AD7&amp;$AE7&amp;$AF7&amp;$AG7),BIN2HEX($AD8&amp;$AE8&amp;$AF8&amp;$AG8))</f>
        <v>D</v>
      </c>
      <c r="AE9" s="1"/>
      <c r="AF9" s="1"/>
      <c r="AG9" s="1"/>
      <c r="AH9" s="1" t="str">
        <f>IF(NOT(Z7),BIN2HEX($AH7&amp;$AI7&amp;$AJ7&amp;$AK7), BIN2HEX($AH8&amp;$AI8&amp;$AJ8&amp;$AK8))</f>
        <v>4</v>
      </c>
      <c r="AI9" s="1"/>
      <c r="AJ9" s="1"/>
      <c r="AK9" s="1"/>
      <c r="AL9" s="1" t="str">
        <f>IF(NOT(Z7),BIN2HEX($AL7&amp;$AM7&amp;$AN7&amp;$AO7), BIN2HEX($AL8&amp;$AM8&amp;$AN8&amp;$AO8))</f>
        <v>2</v>
      </c>
      <c r="AM9" s="1"/>
      <c r="AN9" s="1"/>
      <c r="AO9" s="1"/>
      <c r="AQ9" s="3"/>
      <c r="AR9" s="3"/>
      <c r="AS9" s="3"/>
      <c r="AT9" s="3"/>
      <c r="AU9" s="3"/>
      <c r="AV9" s="3"/>
      <c r="AW9" s="3"/>
    </row>
    <row r="10" spans="1:52" ht="14" x14ac:dyDescent="0.3">
      <c r="A10" t="s">
        <v>34</v>
      </c>
      <c r="B10" t="s">
        <v>35</v>
      </c>
      <c r="C10">
        <f t="shared" ref="C10:C15" si="10">-C4</f>
        <v>-1482</v>
      </c>
      <c r="E10" t="s">
        <v>36</v>
      </c>
      <c r="F10">
        <f t="shared" ref="F10:T10" si="11">MOD(NOT(F4)+G18,2)</f>
        <v>1</v>
      </c>
      <c r="G10">
        <f t="shared" si="11"/>
        <v>1</v>
      </c>
      <c r="H10">
        <f t="shared" si="11"/>
        <v>1</v>
      </c>
      <c r="I10">
        <f t="shared" si="11"/>
        <v>1</v>
      </c>
      <c r="J10">
        <f t="shared" si="11"/>
        <v>1</v>
      </c>
      <c r="K10">
        <f t="shared" si="11"/>
        <v>0</v>
      </c>
      <c r="L10">
        <f t="shared" si="11"/>
        <v>1</v>
      </c>
      <c r="M10">
        <f t="shared" si="11"/>
        <v>0</v>
      </c>
      <c r="N10">
        <f t="shared" si="11"/>
        <v>0</v>
      </c>
      <c r="O10">
        <f t="shared" si="11"/>
        <v>0</v>
      </c>
      <c r="P10">
        <f t="shared" si="11"/>
        <v>1</v>
      </c>
      <c r="Q10">
        <f t="shared" si="11"/>
        <v>1</v>
      </c>
      <c r="R10">
        <f t="shared" si="11"/>
        <v>0</v>
      </c>
      <c r="S10">
        <f t="shared" si="11"/>
        <v>1</v>
      </c>
      <c r="T10">
        <f t="shared" si="11"/>
        <v>1</v>
      </c>
      <c r="U10">
        <f t="shared" ref="U10:U15" si="12">MOD(NOT(U4)+1,2)</f>
        <v>0</v>
      </c>
      <c r="X10">
        <f>C4+C5</f>
        <v>32066</v>
      </c>
      <c r="Y10" s="1">
        <f>IF(NOT(Z7), 1, -1) * HEX2DEC(Z9&amp;AD9&amp;AH9&amp;AL9)</f>
        <v>32066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Q10" s="3"/>
      <c r="AR10" s="3"/>
      <c r="AS10" s="3"/>
      <c r="AT10" s="3"/>
      <c r="AU10" s="3"/>
      <c r="AV10" s="3"/>
      <c r="AW10" s="3"/>
    </row>
    <row r="11" spans="1:52" ht="14" x14ac:dyDescent="0.3">
      <c r="A11" t="s">
        <v>37</v>
      </c>
      <c r="B11" t="s">
        <v>38</v>
      </c>
      <c r="C11">
        <f t="shared" si="10"/>
        <v>-30584</v>
      </c>
      <c r="E11" t="s">
        <v>39</v>
      </c>
      <c r="F11">
        <f t="shared" ref="F11:T11" si="13">MOD(NOT(F5)+G19,2)</f>
        <v>1</v>
      </c>
      <c r="G11">
        <f t="shared" si="13"/>
        <v>0</v>
      </c>
      <c r="H11">
        <f t="shared" si="13"/>
        <v>0</v>
      </c>
      <c r="I11">
        <f t="shared" si="13"/>
        <v>0</v>
      </c>
      <c r="J11">
        <f t="shared" si="13"/>
        <v>1</v>
      </c>
      <c r="K11">
        <f t="shared" si="13"/>
        <v>0</v>
      </c>
      <c r="L11">
        <f t="shared" si="13"/>
        <v>0</v>
      </c>
      <c r="M11">
        <f t="shared" si="13"/>
        <v>0</v>
      </c>
      <c r="N11">
        <f t="shared" si="13"/>
        <v>1</v>
      </c>
      <c r="O11">
        <f t="shared" si="13"/>
        <v>0</v>
      </c>
      <c r="P11">
        <f t="shared" si="13"/>
        <v>0</v>
      </c>
      <c r="Q11">
        <f t="shared" si="13"/>
        <v>0</v>
      </c>
      <c r="R11">
        <f t="shared" si="13"/>
        <v>1</v>
      </c>
      <c r="S11">
        <f t="shared" si="13"/>
        <v>0</v>
      </c>
      <c r="T11">
        <f t="shared" si="13"/>
        <v>0</v>
      </c>
      <c r="U11">
        <f t="shared" si="12"/>
        <v>0</v>
      </c>
    </row>
    <row r="12" spans="1:52" ht="14" x14ac:dyDescent="0.3">
      <c r="A12" t="s">
        <v>40</v>
      </c>
      <c r="B12" t="s">
        <v>41</v>
      </c>
      <c r="C12">
        <f t="shared" si="10"/>
        <v>-32066</v>
      </c>
      <c r="E12" t="s">
        <v>42</v>
      </c>
      <c r="F12">
        <f t="shared" ref="F12:T12" si="14">MOD(NOT(F6)+G20,2)</f>
        <v>1</v>
      </c>
      <c r="G12">
        <f t="shared" si="14"/>
        <v>0</v>
      </c>
      <c r="H12">
        <f t="shared" si="14"/>
        <v>0</v>
      </c>
      <c r="I12">
        <f t="shared" si="14"/>
        <v>0</v>
      </c>
      <c r="J12">
        <f t="shared" si="14"/>
        <v>0</v>
      </c>
      <c r="K12">
        <f t="shared" si="14"/>
        <v>0</v>
      </c>
      <c r="L12">
        <f t="shared" si="14"/>
        <v>1</v>
      </c>
      <c r="M12">
        <f t="shared" si="14"/>
        <v>0</v>
      </c>
      <c r="N12">
        <f t="shared" si="14"/>
        <v>1</v>
      </c>
      <c r="O12">
        <f t="shared" si="14"/>
        <v>0</v>
      </c>
      <c r="P12">
        <f t="shared" si="14"/>
        <v>1</v>
      </c>
      <c r="Q12">
        <f t="shared" si="14"/>
        <v>1</v>
      </c>
      <c r="R12">
        <f t="shared" si="14"/>
        <v>1</v>
      </c>
      <c r="S12">
        <f t="shared" si="14"/>
        <v>1</v>
      </c>
      <c r="T12">
        <f t="shared" si="14"/>
        <v>1</v>
      </c>
      <c r="U12">
        <f t="shared" si="12"/>
        <v>0</v>
      </c>
    </row>
    <row r="13" spans="1:52" ht="14" x14ac:dyDescent="0.3">
      <c r="A13" t="s">
        <v>43</v>
      </c>
      <c r="B13" t="s">
        <v>44</v>
      </c>
      <c r="C13">
        <f t="shared" si="10"/>
        <v>-62650</v>
      </c>
      <c r="E13" t="s">
        <v>45</v>
      </c>
      <c r="F13">
        <f t="shared" ref="F13:T13" si="15">MOD(NOT(F7)+G21,2)</f>
        <v>0</v>
      </c>
      <c r="G13">
        <f t="shared" si="15"/>
        <v>0</v>
      </c>
      <c r="H13">
        <f t="shared" si="15"/>
        <v>0</v>
      </c>
      <c r="I13">
        <f t="shared" si="15"/>
        <v>0</v>
      </c>
      <c r="J13">
        <f t="shared" si="15"/>
        <v>1</v>
      </c>
      <c r="K13">
        <f t="shared" si="15"/>
        <v>0</v>
      </c>
      <c r="L13">
        <f t="shared" si="15"/>
        <v>1</v>
      </c>
      <c r="M13">
        <f t="shared" si="15"/>
        <v>1</v>
      </c>
      <c r="N13">
        <f t="shared" si="15"/>
        <v>0</v>
      </c>
      <c r="O13">
        <f t="shared" si="15"/>
        <v>1</v>
      </c>
      <c r="P13">
        <f t="shared" si="15"/>
        <v>0</v>
      </c>
      <c r="Q13">
        <f t="shared" si="15"/>
        <v>0</v>
      </c>
      <c r="R13">
        <f t="shared" si="15"/>
        <v>0</v>
      </c>
      <c r="S13">
        <f t="shared" si="15"/>
        <v>1</v>
      </c>
      <c r="T13">
        <f t="shared" si="15"/>
        <v>1</v>
      </c>
      <c r="U13">
        <f t="shared" si="12"/>
        <v>0</v>
      </c>
      <c r="Z13" t="b">
        <f t="shared" ref="Z13:AM13" si="16">IF(AA14+AA15+AA13 &gt; 1,TRUE())</f>
        <v>1</v>
      </c>
      <c r="AA13" t="b">
        <f t="shared" si="16"/>
        <v>1</v>
      </c>
      <c r="AB13" t="b">
        <f t="shared" si="16"/>
        <v>1</v>
      </c>
      <c r="AC13" t="b">
        <f t="shared" si="16"/>
        <v>1</v>
      </c>
      <c r="AD13" t="b">
        <f t="shared" si="16"/>
        <v>1</v>
      </c>
      <c r="AE13" t="b">
        <f t="shared" si="16"/>
        <v>1</v>
      </c>
      <c r="AF13" t="b">
        <f t="shared" si="16"/>
        <v>1</v>
      </c>
      <c r="AG13" t="b">
        <f t="shared" si="16"/>
        <v>0</v>
      </c>
      <c r="AH13" t="b">
        <f t="shared" si="16"/>
        <v>1</v>
      </c>
      <c r="AI13" t="b">
        <f t="shared" si="16"/>
        <v>0</v>
      </c>
      <c r="AJ13" t="b">
        <f t="shared" si="16"/>
        <v>0</v>
      </c>
      <c r="AK13" t="b">
        <f t="shared" si="16"/>
        <v>0</v>
      </c>
      <c r="AL13" t="b">
        <f t="shared" si="16"/>
        <v>0</v>
      </c>
      <c r="AM13" t="b">
        <f t="shared" si="16"/>
        <v>0</v>
      </c>
      <c r="AN13" t="b">
        <f>IF(AO14+AO15 &gt; 1,TRUE())</f>
        <v>0</v>
      </c>
      <c r="AQ13" t="s">
        <v>4</v>
      </c>
      <c r="AR13" t="s">
        <v>5</v>
      </c>
      <c r="AS13" t="s">
        <v>6</v>
      </c>
      <c r="AT13" t="s">
        <v>7</v>
      </c>
      <c r="AU13" t="s">
        <v>8</v>
      </c>
      <c r="AV13" t="s">
        <v>9</v>
      </c>
    </row>
    <row r="14" spans="1:52" ht="14" x14ac:dyDescent="0.3">
      <c r="A14" t="s">
        <v>46</v>
      </c>
      <c r="B14" t="s">
        <v>47</v>
      </c>
      <c r="C14">
        <f t="shared" si="10"/>
        <v>-29102</v>
      </c>
      <c r="E14" t="s">
        <v>48</v>
      </c>
      <c r="F14">
        <f t="shared" ref="F14:T14" si="17">MOD(NOT(F8)+G22,2)</f>
        <v>1</v>
      </c>
      <c r="G14">
        <f t="shared" si="17"/>
        <v>0</v>
      </c>
      <c r="H14">
        <f t="shared" si="17"/>
        <v>0</v>
      </c>
      <c r="I14">
        <f t="shared" si="17"/>
        <v>0</v>
      </c>
      <c r="J14">
        <f t="shared" si="17"/>
        <v>1</v>
      </c>
      <c r="K14">
        <f t="shared" si="17"/>
        <v>1</v>
      </c>
      <c r="L14">
        <f t="shared" si="17"/>
        <v>1</v>
      </c>
      <c r="M14">
        <f t="shared" si="17"/>
        <v>0</v>
      </c>
      <c r="N14">
        <f t="shared" si="17"/>
        <v>0</v>
      </c>
      <c r="O14">
        <f t="shared" si="17"/>
        <v>1</v>
      </c>
      <c r="P14">
        <f t="shared" si="17"/>
        <v>0</v>
      </c>
      <c r="Q14">
        <f t="shared" si="17"/>
        <v>1</v>
      </c>
      <c r="R14">
        <f t="shared" si="17"/>
        <v>0</v>
      </c>
      <c r="S14">
        <f t="shared" si="17"/>
        <v>0</v>
      </c>
      <c r="T14">
        <f t="shared" si="17"/>
        <v>1</v>
      </c>
      <c r="U14">
        <f t="shared" si="12"/>
        <v>0</v>
      </c>
      <c r="X14" t="str">
        <f>E5</f>
        <v xml:space="preserve">B2 = </v>
      </c>
      <c r="Z14">
        <f t="shared" ref="Z14:AO15" si="18">F5</f>
        <v>0</v>
      </c>
      <c r="AA14">
        <f t="shared" si="18"/>
        <v>1</v>
      </c>
      <c r="AB14">
        <f t="shared" si="18"/>
        <v>1</v>
      </c>
      <c r="AC14">
        <f t="shared" si="18"/>
        <v>1</v>
      </c>
      <c r="AD14">
        <f t="shared" si="18"/>
        <v>0</v>
      </c>
      <c r="AE14">
        <f t="shared" si="18"/>
        <v>1</v>
      </c>
      <c r="AF14">
        <f t="shared" si="18"/>
        <v>1</v>
      </c>
      <c r="AG14">
        <f t="shared" si="18"/>
        <v>1</v>
      </c>
      <c r="AH14">
        <f t="shared" si="18"/>
        <v>0</v>
      </c>
      <c r="AI14">
        <f t="shared" si="18"/>
        <v>1</v>
      </c>
      <c r="AJ14">
        <f t="shared" si="18"/>
        <v>1</v>
      </c>
      <c r="AK14">
        <f t="shared" si="18"/>
        <v>1</v>
      </c>
      <c r="AL14">
        <f t="shared" si="18"/>
        <v>1</v>
      </c>
      <c r="AM14">
        <f t="shared" si="18"/>
        <v>0</v>
      </c>
      <c r="AN14">
        <f t="shared" si="18"/>
        <v>0</v>
      </c>
      <c r="AO14">
        <f t="shared" si="18"/>
        <v>0</v>
      </c>
      <c r="AQ14">
        <f>Y17</f>
        <v>0</v>
      </c>
      <c r="AR14">
        <f>IF(AND(Z14 = Z15, NOT(Z15 = Z17)), 1, 0)</f>
        <v>1</v>
      </c>
      <c r="AS14">
        <f>IF(Y20 = 0,1,0)</f>
        <v>0</v>
      </c>
      <c r="AT14">
        <f>IF(AL13+AL14+AL15 &gt; 1, 1, 0)</f>
        <v>0</v>
      </c>
      <c r="AU14">
        <f>IF(Z17,0,1)</f>
        <v>0</v>
      </c>
      <c r="AV14">
        <f>IF(MOD(SUM(AL17:AO17),2) = 0, 1,0)</f>
        <v>1</v>
      </c>
    </row>
    <row r="15" spans="1:52" ht="14" x14ac:dyDescent="0.3">
      <c r="A15" t="s">
        <v>49</v>
      </c>
      <c r="B15" t="s">
        <v>50</v>
      </c>
      <c r="C15">
        <f t="shared" si="10"/>
        <v>-2886</v>
      </c>
      <c r="E15" t="s">
        <v>51</v>
      </c>
      <c r="F15">
        <f t="shared" ref="F15:T15" si="19">MOD(NOT(F9)+G23,2)</f>
        <v>1</v>
      </c>
      <c r="G15">
        <f t="shared" si="19"/>
        <v>1</v>
      </c>
      <c r="H15">
        <f t="shared" si="19"/>
        <v>1</v>
      </c>
      <c r="I15">
        <f t="shared" si="19"/>
        <v>1</v>
      </c>
      <c r="J15">
        <f t="shared" si="19"/>
        <v>0</v>
      </c>
      <c r="K15">
        <f t="shared" si="19"/>
        <v>1</v>
      </c>
      <c r="L15">
        <f t="shared" si="19"/>
        <v>0</v>
      </c>
      <c r="M15">
        <f t="shared" si="19"/>
        <v>0</v>
      </c>
      <c r="N15">
        <f t="shared" si="19"/>
        <v>1</v>
      </c>
      <c r="O15">
        <f t="shared" si="19"/>
        <v>0</v>
      </c>
      <c r="P15">
        <f t="shared" si="19"/>
        <v>1</v>
      </c>
      <c r="Q15">
        <f t="shared" si="19"/>
        <v>1</v>
      </c>
      <c r="R15">
        <f t="shared" si="19"/>
        <v>1</v>
      </c>
      <c r="S15">
        <f t="shared" si="19"/>
        <v>0</v>
      </c>
      <c r="T15">
        <f t="shared" si="19"/>
        <v>1</v>
      </c>
      <c r="U15">
        <f t="shared" si="12"/>
        <v>0</v>
      </c>
      <c r="X15" t="str">
        <f>E6</f>
        <v xml:space="preserve">B3 = </v>
      </c>
      <c r="Z15">
        <f t="shared" si="18"/>
        <v>0</v>
      </c>
      <c r="AA15">
        <f t="shared" si="18"/>
        <v>1</v>
      </c>
      <c r="AB15">
        <f t="shared" si="18"/>
        <v>1</v>
      </c>
      <c r="AC15">
        <f t="shared" si="18"/>
        <v>1</v>
      </c>
      <c r="AD15">
        <f t="shared" si="18"/>
        <v>1</v>
      </c>
      <c r="AE15">
        <f t="shared" si="18"/>
        <v>1</v>
      </c>
      <c r="AF15">
        <f t="shared" si="18"/>
        <v>0</v>
      </c>
      <c r="AG15">
        <f t="shared" si="18"/>
        <v>1</v>
      </c>
      <c r="AH15">
        <f t="shared" si="18"/>
        <v>0</v>
      </c>
      <c r="AI15">
        <f t="shared" si="18"/>
        <v>1</v>
      </c>
      <c r="AJ15">
        <f t="shared" si="18"/>
        <v>0</v>
      </c>
      <c r="AK15">
        <f t="shared" si="18"/>
        <v>0</v>
      </c>
      <c r="AL15">
        <f t="shared" si="18"/>
        <v>0</v>
      </c>
      <c r="AM15">
        <f t="shared" si="18"/>
        <v>0</v>
      </c>
      <c r="AN15">
        <f t="shared" si="18"/>
        <v>1</v>
      </c>
      <c r="AO15">
        <f t="shared" si="18"/>
        <v>0</v>
      </c>
    </row>
    <row r="16" spans="1:52" ht="14" x14ac:dyDescent="0.3">
      <c r="X16" t="s">
        <v>19</v>
      </c>
      <c r="Y16" t="s">
        <v>20</v>
      </c>
      <c r="Z16" t="s">
        <v>21</v>
      </c>
      <c r="AA16" t="s">
        <v>21</v>
      </c>
      <c r="AB16" t="s">
        <v>21</v>
      </c>
      <c r="AC16" t="s">
        <v>21</v>
      </c>
      <c r="AD16" t="s">
        <v>21</v>
      </c>
      <c r="AE16" t="s">
        <v>21</v>
      </c>
      <c r="AF16" t="s">
        <v>21</v>
      </c>
      <c r="AG16" t="s">
        <v>21</v>
      </c>
      <c r="AH16" t="s">
        <v>21</v>
      </c>
      <c r="AI16" t="s">
        <v>21</v>
      </c>
      <c r="AJ16" t="s">
        <v>21</v>
      </c>
      <c r="AK16" t="s">
        <v>21</v>
      </c>
      <c r="AL16" t="s">
        <v>21</v>
      </c>
      <c r="AM16" t="s">
        <v>21</v>
      </c>
      <c r="AN16" t="s">
        <v>21</v>
      </c>
      <c r="AO16" t="s">
        <v>21</v>
      </c>
      <c r="AQ16" s="3" t="str">
        <f>"при сумме "&amp;IF(Z14=Z15,IF(Z14,"отрицательных","положительных"),"")&amp;CHAR(10)&amp;"чисел "&amp;" получено "&amp;IF(Z17,"отрицательное","положительное")&amp;"  число."&amp;CHAR(10)&amp;IF(NOT(AQ14),"Не происходит перноса","Происходит перенос")&amp;CHAR(10)&amp;"и "&amp;IF(NOT(AR14),"не происходит переполнения","происходит переполнение")&amp;"."&amp;CHAR(10)&amp;"Выражение вычислено "&amp;IF(X20=Y20,"корректно","некорректно")</f>
        <v>при сумме положительных
чисел  получено отрицательное  число.
Не происходит перноса
и происходит переполнение.
Выражение вычислено некорректно</v>
      </c>
      <c r="AR16" s="3"/>
      <c r="AS16" s="3"/>
      <c r="AT16" s="3"/>
      <c r="AU16" s="3"/>
      <c r="AV16" s="3"/>
      <c r="AW16" s="3"/>
    </row>
    <row r="17" spans="6:49" ht="14" x14ac:dyDescent="0.3">
      <c r="X17" t="s">
        <v>52</v>
      </c>
      <c r="Y17">
        <f>IF(Z13+Z14+Z15 &gt; 1, 1, 0)</f>
        <v>0</v>
      </c>
      <c r="Z17">
        <f t="shared" ref="Z17:AN17" si="20">MOD(Z13+Z14+Z15,2)</f>
        <v>1</v>
      </c>
      <c r="AA17">
        <f t="shared" si="20"/>
        <v>1</v>
      </c>
      <c r="AB17">
        <f t="shared" si="20"/>
        <v>1</v>
      </c>
      <c r="AC17">
        <f t="shared" si="20"/>
        <v>1</v>
      </c>
      <c r="AD17">
        <f t="shared" si="20"/>
        <v>0</v>
      </c>
      <c r="AE17">
        <f t="shared" si="20"/>
        <v>1</v>
      </c>
      <c r="AF17">
        <f t="shared" si="20"/>
        <v>0</v>
      </c>
      <c r="AG17">
        <f t="shared" si="20"/>
        <v>0</v>
      </c>
      <c r="AH17">
        <f t="shared" si="20"/>
        <v>1</v>
      </c>
      <c r="AI17">
        <f t="shared" si="20"/>
        <v>0</v>
      </c>
      <c r="AJ17">
        <f t="shared" si="20"/>
        <v>1</v>
      </c>
      <c r="AK17">
        <f t="shared" si="20"/>
        <v>1</v>
      </c>
      <c r="AL17">
        <f t="shared" si="20"/>
        <v>1</v>
      </c>
      <c r="AM17">
        <f t="shared" si="20"/>
        <v>0</v>
      </c>
      <c r="AN17">
        <f t="shared" si="20"/>
        <v>1</v>
      </c>
      <c r="AO17">
        <f>MOD(AO14+AO15,2)</f>
        <v>0</v>
      </c>
      <c r="AQ17" s="3"/>
      <c r="AR17" s="3"/>
      <c r="AS17" s="3"/>
      <c r="AT17" s="3"/>
      <c r="AU17" s="3"/>
      <c r="AV17" s="3"/>
      <c r="AW17" s="3"/>
    </row>
    <row r="18" spans="6:49" ht="14" x14ac:dyDescent="0.3">
      <c r="F18" s="2" t="b">
        <f t="shared" ref="F18:T18" si="21">IF(NOT(F4) + G18&gt; 1,TRUE())</f>
        <v>0</v>
      </c>
      <c r="G18" s="2" t="b">
        <f t="shared" si="21"/>
        <v>0</v>
      </c>
      <c r="H18" s="2" t="b">
        <f t="shared" si="21"/>
        <v>0</v>
      </c>
      <c r="I18" s="2" t="b">
        <f t="shared" si="21"/>
        <v>0</v>
      </c>
      <c r="J18" s="2" t="b">
        <f t="shared" si="21"/>
        <v>0</v>
      </c>
      <c r="K18" s="2" t="b">
        <f t="shared" si="21"/>
        <v>0</v>
      </c>
      <c r="L18" s="2" t="b">
        <f t="shared" si="21"/>
        <v>0</v>
      </c>
      <c r="M18" s="2" t="b">
        <f t="shared" si="21"/>
        <v>0</v>
      </c>
      <c r="N18" s="2" t="b">
        <f t="shared" si="21"/>
        <v>0</v>
      </c>
      <c r="O18" s="2" t="b">
        <f t="shared" si="21"/>
        <v>0</v>
      </c>
      <c r="P18" s="2" t="b">
        <f t="shared" si="21"/>
        <v>0</v>
      </c>
      <c r="Q18" s="2" t="b">
        <f t="shared" si="21"/>
        <v>0</v>
      </c>
      <c r="R18" s="2" t="b">
        <f t="shared" si="21"/>
        <v>0</v>
      </c>
      <c r="S18" s="2" t="b">
        <f t="shared" si="21"/>
        <v>0</v>
      </c>
      <c r="T18" s="2" t="b">
        <f t="shared" si="21"/>
        <v>0</v>
      </c>
      <c r="U18" s="2" t="b">
        <f t="shared" ref="U18:U23" si="22">IF(NOT(U4) +1 &gt; 1,TRUE())</f>
        <v>1</v>
      </c>
      <c r="Z18">
        <f t="shared" ref="Z18:AM18" si="23">MOD(NOT(Z17) + IF(AND(NOT(AA17), NOT(AA18)),1,0),2)</f>
        <v>0</v>
      </c>
      <c r="AA18">
        <f t="shared" si="23"/>
        <v>0</v>
      </c>
      <c r="AB18">
        <f t="shared" si="23"/>
        <v>0</v>
      </c>
      <c r="AC18">
        <f t="shared" si="23"/>
        <v>0</v>
      </c>
      <c r="AD18">
        <f t="shared" si="23"/>
        <v>1</v>
      </c>
      <c r="AE18">
        <f t="shared" si="23"/>
        <v>0</v>
      </c>
      <c r="AF18">
        <f t="shared" si="23"/>
        <v>1</v>
      </c>
      <c r="AG18">
        <f t="shared" si="23"/>
        <v>1</v>
      </c>
      <c r="AH18">
        <f t="shared" si="23"/>
        <v>0</v>
      </c>
      <c r="AI18">
        <f t="shared" si="23"/>
        <v>1</v>
      </c>
      <c r="AJ18">
        <f t="shared" si="23"/>
        <v>0</v>
      </c>
      <c r="AK18">
        <f t="shared" si="23"/>
        <v>0</v>
      </c>
      <c r="AL18">
        <f t="shared" si="23"/>
        <v>0</v>
      </c>
      <c r="AM18">
        <f t="shared" si="23"/>
        <v>1</v>
      </c>
      <c r="AN18">
        <f>MOD(NOT(AN17)+IF(NOT(AO17)+1 &gt; 1, 1, 0), 2)</f>
        <v>1</v>
      </c>
      <c r="AO18">
        <f>MOD(NOT(AO17) + 1, 2)</f>
        <v>0</v>
      </c>
      <c r="AQ18" s="3"/>
      <c r="AR18" s="3"/>
      <c r="AS18" s="3"/>
      <c r="AT18" s="3"/>
      <c r="AU18" s="3"/>
      <c r="AV18" s="3"/>
      <c r="AW18" s="3"/>
    </row>
    <row r="19" spans="6:49" ht="14" x14ac:dyDescent="0.3">
      <c r="F19" s="2" t="b">
        <f t="shared" ref="F19:T19" si="24">IF(NOT(F5) + G19&gt; 1,TRUE())</f>
        <v>0</v>
      </c>
      <c r="G19" s="2" t="b">
        <f t="shared" si="24"/>
        <v>0</v>
      </c>
      <c r="H19" s="2" t="b">
        <f t="shared" si="24"/>
        <v>0</v>
      </c>
      <c r="I19" s="2" t="b">
        <f t="shared" si="24"/>
        <v>0</v>
      </c>
      <c r="J19" s="2" t="b">
        <f t="shared" si="24"/>
        <v>0</v>
      </c>
      <c r="K19" s="2" t="b">
        <f t="shared" si="24"/>
        <v>0</v>
      </c>
      <c r="L19" s="2" t="b">
        <f t="shared" si="24"/>
        <v>0</v>
      </c>
      <c r="M19" s="2" t="b">
        <f t="shared" si="24"/>
        <v>0</v>
      </c>
      <c r="N19" s="2" t="b">
        <f t="shared" si="24"/>
        <v>0</v>
      </c>
      <c r="O19" s="2" t="b">
        <f t="shared" si="24"/>
        <v>0</v>
      </c>
      <c r="P19" s="2" t="b">
        <f t="shared" si="24"/>
        <v>0</v>
      </c>
      <c r="Q19" s="2" t="b">
        <f t="shared" si="24"/>
        <v>0</v>
      </c>
      <c r="R19" s="2" t="b">
        <f t="shared" si="24"/>
        <v>0</v>
      </c>
      <c r="S19" s="2" t="b">
        <f t="shared" si="24"/>
        <v>1</v>
      </c>
      <c r="T19" s="2" t="b">
        <f t="shared" si="24"/>
        <v>1</v>
      </c>
      <c r="U19" s="2" t="b">
        <f t="shared" si="22"/>
        <v>1</v>
      </c>
      <c r="X19" t="s">
        <v>53</v>
      </c>
      <c r="Z19" s="1" t="str">
        <f>IF(NOT(Z17), BIN2HEX($Z17&amp;$AA17&amp;$AB17&amp;AC17), BIN2HEX($Z18&amp;$AA18&amp;$AB18&amp;AC18))</f>
        <v>0</v>
      </c>
      <c r="AA19" s="1"/>
      <c r="AB19" s="1"/>
      <c r="AC19" s="1"/>
      <c r="AD19" s="1" t="str">
        <f>IF(NOT(Z17),BIN2HEX($AD17&amp;$AE17&amp;$AF17&amp;$AG17),BIN2HEX($AD18&amp;$AE18&amp;$AF18&amp;$AG18))</f>
        <v>B</v>
      </c>
      <c r="AE19" s="1"/>
      <c r="AF19" s="1"/>
      <c r="AG19" s="1"/>
      <c r="AH19" s="1" t="str">
        <f>IF(NOT(Z17),BIN2HEX($AH17&amp;$AI17&amp;$AJ17&amp;$AK17), BIN2HEX($AH18&amp;$AI18&amp;$AJ18&amp;$AK18))</f>
        <v>4</v>
      </c>
      <c r="AI19" s="1"/>
      <c r="AJ19" s="1"/>
      <c r="AK19" s="1"/>
      <c r="AL19" s="1" t="str">
        <f>IF(NOT(Z17),BIN2HEX($AL17&amp;$AM17&amp;$AN17&amp;$AO17), BIN2HEX($AL18&amp;$AM18&amp;$AN18&amp;$AO18))</f>
        <v>6</v>
      </c>
      <c r="AM19" s="1"/>
      <c r="AN19" s="1"/>
      <c r="AO19" s="1"/>
      <c r="AQ19" s="3"/>
      <c r="AR19" s="3"/>
      <c r="AS19" s="3"/>
      <c r="AT19" s="3"/>
      <c r="AU19" s="3"/>
      <c r="AV19" s="3"/>
      <c r="AW19" s="3"/>
    </row>
    <row r="20" spans="6:49" ht="14" x14ac:dyDescent="0.3">
      <c r="F20" s="2" t="b">
        <f t="shared" ref="F20:T20" si="25">IF(NOT(F6) + G20&gt; 1,TRUE())</f>
        <v>0</v>
      </c>
      <c r="G20" s="2" t="b">
        <f t="shared" si="25"/>
        <v>0</v>
      </c>
      <c r="H20" s="2" t="b">
        <f t="shared" si="25"/>
        <v>0</v>
      </c>
      <c r="I20" s="2" t="b">
        <f t="shared" si="25"/>
        <v>0</v>
      </c>
      <c r="J20" s="2" t="b">
        <f t="shared" si="25"/>
        <v>0</v>
      </c>
      <c r="K20" s="2" t="b">
        <f t="shared" si="25"/>
        <v>0</v>
      </c>
      <c r="L20" s="2" t="b">
        <f t="shared" si="25"/>
        <v>0</v>
      </c>
      <c r="M20" s="2" t="b">
        <f t="shared" si="25"/>
        <v>0</v>
      </c>
      <c r="N20" s="2" t="b">
        <f t="shared" si="25"/>
        <v>0</v>
      </c>
      <c r="O20" s="2" t="b">
        <f t="shared" si="25"/>
        <v>0</v>
      </c>
      <c r="P20" s="2" t="b">
        <f t="shared" si="25"/>
        <v>0</v>
      </c>
      <c r="Q20" s="2" t="b">
        <f t="shared" si="25"/>
        <v>0</v>
      </c>
      <c r="R20" s="2" t="b">
        <f t="shared" si="25"/>
        <v>0</v>
      </c>
      <c r="S20" s="2" t="b">
        <f t="shared" si="25"/>
        <v>0</v>
      </c>
      <c r="T20" s="2" t="b">
        <f t="shared" si="25"/>
        <v>0</v>
      </c>
      <c r="U20" s="2" t="b">
        <f t="shared" si="22"/>
        <v>1</v>
      </c>
      <c r="X20">
        <f>C5+C6</f>
        <v>62650</v>
      </c>
      <c r="Y20" s="1">
        <f>IF(NOT(Z17), 1, -1) * HEX2DEC(Z19&amp;AD19&amp;AH19&amp;AL19)</f>
        <v>-2886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Q20" s="3"/>
      <c r="AR20" s="3"/>
      <c r="AS20" s="3"/>
      <c r="AT20" s="3"/>
      <c r="AU20" s="3"/>
      <c r="AV20" s="3"/>
      <c r="AW20" s="3"/>
    </row>
    <row r="21" spans="6:49" ht="14" x14ac:dyDescent="0.3">
      <c r="F21" s="2" t="b">
        <f t="shared" ref="F21:T21" si="26">IF(NOT(F7) + G21&gt; 1,TRUE())</f>
        <v>0</v>
      </c>
      <c r="G21" s="2" t="b">
        <f t="shared" si="26"/>
        <v>0</v>
      </c>
      <c r="H21" s="2" t="b">
        <f t="shared" si="26"/>
        <v>0</v>
      </c>
      <c r="I21" s="2" t="b">
        <f t="shared" si="26"/>
        <v>0</v>
      </c>
      <c r="J21" s="2" t="b">
        <f t="shared" si="26"/>
        <v>0</v>
      </c>
      <c r="K21" s="2" t="b">
        <f t="shared" si="26"/>
        <v>0</v>
      </c>
      <c r="L21" s="2" t="b">
        <f t="shared" si="26"/>
        <v>0</v>
      </c>
      <c r="M21" s="2" t="b">
        <f t="shared" si="26"/>
        <v>0</v>
      </c>
      <c r="N21" s="2" t="b">
        <f t="shared" si="26"/>
        <v>0</v>
      </c>
      <c r="O21" s="2" t="b">
        <f t="shared" si="26"/>
        <v>0</v>
      </c>
      <c r="P21" s="2" t="b">
        <f t="shared" si="26"/>
        <v>0</v>
      </c>
      <c r="Q21" s="2" t="b">
        <f t="shared" si="26"/>
        <v>0</v>
      </c>
      <c r="R21" s="2" t="b">
        <f t="shared" si="26"/>
        <v>0</v>
      </c>
      <c r="S21" s="2" t="b">
        <f t="shared" si="26"/>
        <v>0</v>
      </c>
      <c r="T21" s="2" t="b">
        <f t="shared" si="26"/>
        <v>0</v>
      </c>
      <c r="U21" s="2" t="b">
        <f t="shared" si="22"/>
        <v>1</v>
      </c>
    </row>
    <row r="22" spans="6:49" ht="14" x14ac:dyDescent="0.3">
      <c r="F22" s="2" t="b">
        <f t="shared" ref="F22:T22" si="27">IF(NOT(F8) + G22&gt; 1,TRUE())</f>
        <v>0</v>
      </c>
      <c r="G22" s="2" t="b">
        <f t="shared" si="27"/>
        <v>0</v>
      </c>
      <c r="H22" s="2" t="b">
        <f t="shared" si="27"/>
        <v>0</v>
      </c>
      <c r="I22" s="2" t="b">
        <f t="shared" si="27"/>
        <v>0</v>
      </c>
      <c r="J22" s="2" t="b">
        <f t="shared" si="27"/>
        <v>0</v>
      </c>
      <c r="K22" s="2" t="b">
        <f t="shared" si="27"/>
        <v>0</v>
      </c>
      <c r="L22" s="2" t="b">
        <f t="shared" si="27"/>
        <v>0</v>
      </c>
      <c r="M22" s="2" t="b">
        <f t="shared" si="27"/>
        <v>0</v>
      </c>
      <c r="N22" s="2" t="b">
        <f t="shared" si="27"/>
        <v>0</v>
      </c>
      <c r="O22" s="2" t="b">
        <f t="shared" si="27"/>
        <v>0</v>
      </c>
      <c r="P22" s="2" t="b">
        <f t="shared" si="27"/>
        <v>0</v>
      </c>
      <c r="Q22" s="2" t="b">
        <f t="shared" si="27"/>
        <v>0</v>
      </c>
      <c r="R22" s="2" t="b">
        <f t="shared" si="27"/>
        <v>0</v>
      </c>
      <c r="S22" s="2" t="b">
        <f t="shared" si="27"/>
        <v>0</v>
      </c>
      <c r="T22" s="2" t="b">
        <f t="shared" si="27"/>
        <v>0</v>
      </c>
      <c r="U22" s="2" t="b">
        <f t="shared" si="22"/>
        <v>1</v>
      </c>
    </row>
    <row r="23" spans="6:49" ht="14" x14ac:dyDescent="0.3">
      <c r="F23" s="2" t="b">
        <f t="shared" ref="F23:T23" si="28">IF(NOT(F9) + G23&gt; 1,TRUE())</f>
        <v>0</v>
      </c>
      <c r="G23" s="2" t="b">
        <f t="shared" si="28"/>
        <v>0</v>
      </c>
      <c r="H23" s="2" t="b">
        <f t="shared" si="28"/>
        <v>0</v>
      </c>
      <c r="I23" s="2" t="b">
        <f t="shared" si="28"/>
        <v>0</v>
      </c>
      <c r="J23" s="2" t="b">
        <f t="shared" si="28"/>
        <v>0</v>
      </c>
      <c r="K23" s="2" t="b">
        <f t="shared" si="28"/>
        <v>0</v>
      </c>
      <c r="L23" s="2" t="b">
        <f t="shared" si="28"/>
        <v>0</v>
      </c>
      <c r="M23" s="2" t="b">
        <f t="shared" si="28"/>
        <v>0</v>
      </c>
      <c r="N23" s="2" t="b">
        <f t="shared" si="28"/>
        <v>0</v>
      </c>
      <c r="O23" s="2" t="b">
        <f t="shared" si="28"/>
        <v>0</v>
      </c>
      <c r="P23" s="2" t="b">
        <f t="shared" si="28"/>
        <v>0</v>
      </c>
      <c r="Q23" s="2" t="b">
        <f t="shared" si="28"/>
        <v>0</v>
      </c>
      <c r="R23" s="2" t="b">
        <f t="shared" si="28"/>
        <v>0</v>
      </c>
      <c r="S23" s="2" t="b">
        <f t="shared" si="28"/>
        <v>0</v>
      </c>
      <c r="T23" s="2" t="b">
        <f t="shared" si="28"/>
        <v>0</v>
      </c>
      <c r="U23" s="2" t="b">
        <f t="shared" si="22"/>
        <v>1</v>
      </c>
      <c r="Z23" t="b">
        <f t="shared" ref="Z23:AM23" si="29">IF(AA24+AA25+AA23 &gt; 1,TRUE())</f>
        <v>1</v>
      </c>
      <c r="AA23" t="b">
        <f t="shared" si="29"/>
        <v>1</v>
      </c>
      <c r="AB23" t="b">
        <f t="shared" si="29"/>
        <v>1</v>
      </c>
      <c r="AC23" t="b">
        <f t="shared" si="29"/>
        <v>1</v>
      </c>
      <c r="AD23" t="b">
        <f t="shared" si="29"/>
        <v>1</v>
      </c>
      <c r="AE23" t="b">
        <f t="shared" si="29"/>
        <v>1</v>
      </c>
      <c r="AF23" t="b">
        <f t="shared" si="29"/>
        <v>0</v>
      </c>
      <c r="AG23" t="b">
        <f t="shared" si="29"/>
        <v>0</v>
      </c>
      <c r="AH23" t="b">
        <f t="shared" si="29"/>
        <v>1</v>
      </c>
      <c r="AI23" t="b">
        <f t="shared" si="29"/>
        <v>1</v>
      </c>
      <c r="AJ23" t="b">
        <f t="shared" si="29"/>
        <v>1</v>
      </c>
      <c r="AK23" t="b">
        <f t="shared" si="29"/>
        <v>0</v>
      </c>
      <c r="AL23" t="b">
        <f t="shared" si="29"/>
        <v>0</v>
      </c>
      <c r="AM23" t="b">
        <f t="shared" si="29"/>
        <v>0</v>
      </c>
      <c r="AN23" t="b">
        <f>IF(AO24+AO25 &gt; 1,TRUE())</f>
        <v>0</v>
      </c>
      <c r="AQ23" t="s">
        <v>4</v>
      </c>
      <c r="AR23" t="s">
        <v>5</v>
      </c>
      <c r="AS23" t="s">
        <v>6</v>
      </c>
      <c r="AT23" t="s">
        <v>7</v>
      </c>
      <c r="AU23" t="s">
        <v>8</v>
      </c>
      <c r="AV23" t="s">
        <v>9</v>
      </c>
    </row>
    <row r="24" spans="6:49" ht="14" x14ac:dyDescent="0.3">
      <c r="X24" t="str">
        <f>E5</f>
        <v xml:space="preserve">B2 = 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Q24">
        <f>Y27</f>
        <v>1</v>
      </c>
      <c r="AR24">
        <f>IF(AND(Z24 = Z25, NOT(Z25 = Z27)), 1, 0)</f>
        <v>0</v>
      </c>
      <c r="AS24">
        <f>IF(Y30 = 0,1,0)</f>
        <v>0</v>
      </c>
      <c r="AT24">
        <f>IF(AL23+AL24+AL25 &gt; 1, 1, 0)</f>
        <v>0</v>
      </c>
      <c r="AU24">
        <f>IF(Z27,0,1)</f>
        <v>0</v>
      </c>
      <c r="AV24">
        <f>IF(MOD(SUM(AL27:AO27),2) = 0, 1,0)</f>
        <v>0</v>
      </c>
    </row>
    <row r="25" spans="6:49" ht="14" x14ac:dyDescent="0.3">
      <c r="X25" t="str">
        <f>E10</f>
        <v xml:space="preserve">B7 = 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0</v>
      </c>
    </row>
    <row r="26" spans="6:49" ht="14" x14ac:dyDescent="0.3">
      <c r="F26">
        <v>15</v>
      </c>
      <c r="G26">
        <v>14</v>
      </c>
      <c r="H26">
        <v>13</v>
      </c>
      <c r="I26">
        <v>12</v>
      </c>
      <c r="J26">
        <v>11</v>
      </c>
      <c r="K26">
        <v>10</v>
      </c>
      <c r="L26">
        <v>9</v>
      </c>
      <c r="M26">
        <v>8</v>
      </c>
      <c r="N26">
        <v>7</v>
      </c>
      <c r="O26">
        <v>6</v>
      </c>
      <c r="P26">
        <v>5</v>
      </c>
      <c r="Q26">
        <v>4</v>
      </c>
      <c r="R26">
        <v>3</v>
      </c>
      <c r="S26">
        <v>2</v>
      </c>
      <c r="T26">
        <v>1</v>
      </c>
      <c r="U26">
        <v>0</v>
      </c>
      <c r="X26" t="s">
        <v>19</v>
      </c>
      <c r="Y26" t="s">
        <v>20</v>
      </c>
      <c r="Z26" t="s">
        <v>21</v>
      </c>
      <c r="AA26" t="s">
        <v>21</v>
      </c>
      <c r="AB26" t="s">
        <v>21</v>
      </c>
      <c r="AC26" t="s">
        <v>21</v>
      </c>
      <c r="AD26" t="s">
        <v>21</v>
      </c>
      <c r="AE26" t="s">
        <v>21</v>
      </c>
      <c r="AF26" t="s">
        <v>21</v>
      </c>
      <c r="AG26" t="s">
        <v>21</v>
      </c>
      <c r="AH26" t="s">
        <v>21</v>
      </c>
      <c r="AI26" t="s">
        <v>21</v>
      </c>
      <c r="AJ26" t="s">
        <v>21</v>
      </c>
      <c r="AK26" t="s">
        <v>21</v>
      </c>
      <c r="AL26" t="s">
        <v>21</v>
      </c>
      <c r="AM26" t="s">
        <v>21</v>
      </c>
      <c r="AN26" t="s">
        <v>21</v>
      </c>
      <c r="AO26" t="s">
        <v>21</v>
      </c>
      <c r="AQ26" s="3" t="str">
        <f>"при сумме "&amp;IF(Z24=Z25,IF(Z24,"отрицательных","положительных"),"")&amp;CHAR(10)&amp;"чисел "&amp;" получено "&amp;IF(Z27,"отрицательное","положительное")&amp;"  число."&amp;CHAR(10)&amp;IF(NOT(AQ24),"Не происходит перноса","Происходит перенос")&amp;CHAR(10)&amp;"и "&amp;IF(NOT(AR24),"не происходит переполнения","происходит переполнение")&amp;"."&amp;CHAR(10)&amp;"Выражение вычислено "&amp;IF(X30=Y30,"корректно","некорректно")</f>
        <v>при сумме 
чисел  получено отрицательное  число.
Происходит перенос
и не происходит переполнения.
Выражение вычислено некорректно</v>
      </c>
      <c r="AR26" s="3"/>
      <c r="AS26" s="3"/>
      <c r="AT26" s="3"/>
      <c r="AU26" s="3"/>
      <c r="AV26" s="3"/>
      <c r="AW26" s="3"/>
    </row>
    <row r="27" spans="6:49" ht="14" x14ac:dyDescent="0.3">
      <c r="F27">
        <f t="shared" ref="F27:U27" si="30">POWER(2,F26)</f>
        <v>32768</v>
      </c>
      <c r="G27">
        <f t="shared" si="30"/>
        <v>16384</v>
      </c>
      <c r="H27">
        <f t="shared" si="30"/>
        <v>8192</v>
      </c>
      <c r="I27">
        <f t="shared" si="30"/>
        <v>4096</v>
      </c>
      <c r="J27">
        <f t="shared" si="30"/>
        <v>2048</v>
      </c>
      <c r="K27">
        <f t="shared" si="30"/>
        <v>1024</v>
      </c>
      <c r="L27">
        <f t="shared" si="30"/>
        <v>512</v>
      </c>
      <c r="M27">
        <f t="shared" si="30"/>
        <v>256</v>
      </c>
      <c r="N27">
        <f t="shared" si="30"/>
        <v>128</v>
      </c>
      <c r="O27">
        <f t="shared" si="30"/>
        <v>64</v>
      </c>
      <c r="P27">
        <f t="shared" si="30"/>
        <v>32</v>
      </c>
      <c r="Q27">
        <f t="shared" si="30"/>
        <v>16</v>
      </c>
      <c r="R27">
        <f t="shared" si="30"/>
        <v>8</v>
      </c>
      <c r="S27">
        <f t="shared" si="30"/>
        <v>4</v>
      </c>
      <c r="T27">
        <f t="shared" si="30"/>
        <v>2</v>
      </c>
      <c r="U27">
        <f t="shared" si="30"/>
        <v>1</v>
      </c>
      <c r="X27" t="s">
        <v>54</v>
      </c>
      <c r="Y27">
        <f>IF(Z23+Z24+Z25 &gt; 1, 1, 0)</f>
        <v>1</v>
      </c>
      <c r="Z27">
        <f t="shared" ref="Z27:AO27" si="31">MOD(Z24+Z25,2)</f>
        <v>1</v>
      </c>
      <c r="AA27">
        <f t="shared" si="31"/>
        <v>0</v>
      </c>
      <c r="AB27">
        <f t="shared" si="31"/>
        <v>0</v>
      </c>
      <c r="AC27">
        <f t="shared" si="31"/>
        <v>0</v>
      </c>
      <c r="AD27">
        <f t="shared" si="31"/>
        <v>1</v>
      </c>
      <c r="AE27">
        <f t="shared" si="31"/>
        <v>1</v>
      </c>
      <c r="AF27">
        <f t="shared" si="31"/>
        <v>0</v>
      </c>
      <c r="AG27">
        <f t="shared" si="31"/>
        <v>1</v>
      </c>
      <c r="AH27">
        <f t="shared" si="31"/>
        <v>0</v>
      </c>
      <c r="AI27">
        <f t="shared" si="31"/>
        <v>1</v>
      </c>
      <c r="AJ27">
        <f t="shared" si="31"/>
        <v>0</v>
      </c>
      <c r="AK27">
        <f t="shared" si="31"/>
        <v>0</v>
      </c>
      <c r="AL27">
        <f t="shared" si="31"/>
        <v>1</v>
      </c>
      <c r="AM27">
        <f t="shared" si="31"/>
        <v>1</v>
      </c>
      <c r="AN27">
        <f t="shared" si="31"/>
        <v>1</v>
      </c>
      <c r="AO27">
        <f t="shared" si="31"/>
        <v>0</v>
      </c>
      <c r="AQ27" s="3"/>
      <c r="AR27" s="3"/>
      <c r="AS27" s="3"/>
      <c r="AT27" s="3"/>
      <c r="AU27" s="3"/>
      <c r="AV27" s="3"/>
      <c r="AW27" s="3"/>
    </row>
    <row r="28" spans="6:49" ht="14" x14ac:dyDescent="0.3">
      <c r="F28">
        <f t="shared" ref="F28:U28" si="32">MOD(ROUNDDOWN(ABS($C4) / F$27,0),2)</f>
        <v>0</v>
      </c>
      <c r="G28">
        <f t="shared" si="32"/>
        <v>0</v>
      </c>
      <c r="H28">
        <f t="shared" si="32"/>
        <v>0</v>
      </c>
      <c r="I28">
        <f t="shared" si="32"/>
        <v>0</v>
      </c>
      <c r="J28">
        <f t="shared" si="32"/>
        <v>0</v>
      </c>
      <c r="K28">
        <f t="shared" si="32"/>
        <v>1</v>
      </c>
      <c r="L28">
        <f t="shared" si="32"/>
        <v>0</v>
      </c>
      <c r="M28">
        <f t="shared" si="32"/>
        <v>1</v>
      </c>
      <c r="N28">
        <f t="shared" si="32"/>
        <v>1</v>
      </c>
      <c r="O28">
        <f t="shared" si="32"/>
        <v>1</v>
      </c>
      <c r="P28">
        <f t="shared" si="32"/>
        <v>0</v>
      </c>
      <c r="Q28">
        <f t="shared" si="32"/>
        <v>0</v>
      </c>
      <c r="R28">
        <f t="shared" si="32"/>
        <v>1</v>
      </c>
      <c r="S28">
        <f t="shared" si="32"/>
        <v>0</v>
      </c>
      <c r="T28">
        <f t="shared" si="32"/>
        <v>1</v>
      </c>
      <c r="U28">
        <f t="shared" si="32"/>
        <v>0</v>
      </c>
      <c r="Z28">
        <f t="shared" ref="Z28:AM28" si="33">MOD(NOT(Z27) + IF(AND(NOT(AA27), NOT(AA28)),1,0),2)</f>
        <v>0</v>
      </c>
      <c r="AA28">
        <f t="shared" si="33"/>
        <v>1</v>
      </c>
      <c r="AB28">
        <f t="shared" si="33"/>
        <v>1</v>
      </c>
      <c r="AC28">
        <f t="shared" si="33"/>
        <v>1</v>
      </c>
      <c r="AD28">
        <f t="shared" si="33"/>
        <v>0</v>
      </c>
      <c r="AE28">
        <f t="shared" si="33"/>
        <v>0</v>
      </c>
      <c r="AF28">
        <f t="shared" si="33"/>
        <v>1</v>
      </c>
      <c r="AG28">
        <f t="shared" si="33"/>
        <v>0</v>
      </c>
      <c r="AH28">
        <f t="shared" si="33"/>
        <v>1</v>
      </c>
      <c r="AI28">
        <f t="shared" si="33"/>
        <v>0</v>
      </c>
      <c r="AJ28">
        <f t="shared" si="33"/>
        <v>1</v>
      </c>
      <c r="AK28">
        <f t="shared" si="33"/>
        <v>1</v>
      </c>
      <c r="AL28">
        <f t="shared" si="33"/>
        <v>0</v>
      </c>
      <c r="AM28">
        <f t="shared" si="33"/>
        <v>0</v>
      </c>
      <c r="AN28">
        <f>MOD(NOT(AN27)+IF(NOT(AO27)+1 &gt; 1, 1, 0), 2)</f>
        <v>1</v>
      </c>
      <c r="AO28">
        <f>MOD(NOT(AO27) + 1, 2)</f>
        <v>0</v>
      </c>
      <c r="AQ28" s="3"/>
      <c r="AR28" s="3"/>
      <c r="AS28" s="3"/>
      <c r="AT28" s="3"/>
      <c r="AU28" s="3"/>
      <c r="AV28" s="3"/>
      <c r="AW28" s="3"/>
    </row>
    <row r="29" spans="6:49" ht="14" x14ac:dyDescent="0.3">
      <c r="F29">
        <f t="shared" ref="F29:U29" si="34">MOD(ROUNDDOWN(ABS($C5) / F$27,0),2)</f>
        <v>0</v>
      </c>
      <c r="G29">
        <f t="shared" si="34"/>
        <v>1</v>
      </c>
      <c r="H29">
        <f t="shared" si="34"/>
        <v>1</v>
      </c>
      <c r="I29">
        <f t="shared" si="34"/>
        <v>1</v>
      </c>
      <c r="J29">
        <f t="shared" si="34"/>
        <v>0</v>
      </c>
      <c r="K29">
        <f t="shared" si="34"/>
        <v>1</v>
      </c>
      <c r="L29">
        <f t="shared" si="34"/>
        <v>1</v>
      </c>
      <c r="M29">
        <f t="shared" si="34"/>
        <v>1</v>
      </c>
      <c r="N29">
        <f t="shared" si="34"/>
        <v>0</v>
      </c>
      <c r="O29">
        <f t="shared" si="34"/>
        <v>1</v>
      </c>
      <c r="P29">
        <f t="shared" si="34"/>
        <v>1</v>
      </c>
      <c r="Q29">
        <f t="shared" si="34"/>
        <v>1</v>
      </c>
      <c r="R29">
        <f t="shared" si="34"/>
        <v>1</v>
      </c>
      <c r="S29">
        <f t="shared" si="34"/>
        <v>0</v>
      </c>
      <c r="T29">
        <f t="shared" si="34"/>
        <v>0</v>
      </c>
      <c r="U29">
        <f t="shared" si="34"/>
        <v>0</v>
      </c>
      <c r="X29" t="s">
        <v>55</v>
      </c>
      <c r="Z29" s="1" t="str">
        <f>IF(NOT(Z27), BIN2HEX($Z27&amp;$AA27&amp;$AB27&amp;AC27), BIN2HEX($Z28&amp;$AA28&amp;$AB28&amp;AC28))</f>
        <v>7</v>
      </c>
      <c r="AA29" s="1"/>
      <c r="AB29" s="1"/>
      <c r="AC29" s="1"/>
      <c r="AD29" s="1" t="str">
        <f>IF(NOT(Z27),BIN2HEX($AD27&amp;$AE27&amp;$AF27&amp;$AG27),BIN2HEX($AD28&amp;$AE28&amp;$AF28&amp;$AG28))</f>
        <v>2</v>
      </c>
      <c r="AE29" s="1"/>
      <c r="AF29" s="1"/>
      <c r="AG29" s="1"/>
      <c r="AH29" s="1" t="str">
        <f>IF(NOT(Z27),BIN2HEX($AH27&amp;$AI27&amp;$AJ27&amp;$AK27), BIN2HEX($AH28&amp;$AI28&amp;$AJ28&amp;$AK28))</f>
        <v>B</v>
      </c>
      <c r="AI29" s="1"/>
      <c r="AJ29" s="1"/>
      <c r="AK29" s="1"/>
      <c r="AL29" s="1" t="str">
        <f>IF(NOT(Z27),BIN2HEX($AL27&amp;$AM27&amp;$AN27&amp;$AO27), BIN2HEX($AL28&amp;$AM28&amp;$AN28&amp;$AO28))</f>
        <v>2</v>
      </c>
      <c r="AM29" s="1"/>
      <c r="AN29" s="1"/>
      <c r="AO29" s="1"/>
      <c r="AQ29" s="3"/>
      <c r="AR29" s="3"/>
      <c r="AS29" s="3"/>
      <c r="AT29" s="3"/>
      <c r="AU29" s="3"/>
      <c r="AV29" s="3"/>
      <c r="AW29" s="3"/>
    </row>
    <row r="30" spans="6:49" ht="14" x14ac:dyDescent="0.3">
      <c r="F30">
        <f t="shared" ref="F30:U30" si="35">MOD(ROUNDDOWN(ABS($C6) / F$27,0),2)</f>
        <v>0</v>
      </c>
      <c r="G30">
        <f t="shared" si="35"/>
        <v>1</v>
      </c>
      <c r="H30">
        <f t="shared" si="35"/>
        <v>1</v>
      </c>
      <c r="I30">
        <f t="shared" si="35"/>
        <v>1</v>
      </c>
      <c r="J30">
        <f t="shared" si="35"/>
        <v>1</v>
      </c>
      <c r="K30">
        <f t="shared" si="35"/>
        <v>1</v>
      </c>
      <c r="L30">
        <f t="shared" si="35"/>
        <v>0</v>
      </c>
      <c r="M30">
        <f t="shared" si="35"/>
        <v>1</v>
      </c>
      <c r="N30">
        <f t="shared" si="35"/>
        <v>0</v>
      </c>
      <c r="O30">
        <f t="shared" si="35"/>
        <v>1</v>
      </c>
      <c r="P30">
        <f t="shared" si="35"/>
        <v>0</v>
      </c>
      <c r="Q30">
        <f t="shared" si="35"/>
        <v>0</v>
      </c>
      <c r="R30">
        <f t="shared" si="35"/>
        <v>0</v>
      </c>
      <c r="S30">
        <f t="shared" si="35"/>
        <v>0</v>
      </c>
      <c r="T30">
        <f t="shared" si="35"/>
        <v>1</v>
      </c>
      <c r="U30">
        <f t="shared" si="35"/>
        <v>0</v>
      </c>
      <c r="X30">
        <f>C5+C10</f>
        <v>29102</v>
      </c>
      <c r="Y30" s="1">
        <f>IF(NOT(Z27), 1, -1) * HEX2DEC(Z29&amp;AD29&amp;AH29&amp;AL29)</f>
        <v>-29362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Q30" s="3"/>
      <c r="AR30" s="3"/>
      <c r="AS30" s="3"/>
      <c r="AT30" s="3"/>
      <c r="AU30" s="3"/>
      <c r="AV30" s="3"/>
      <c r="AW30" s="3"/>
    </row>
    <row r="31" spans="6:49" ht="14" x14ac:dyDescent="0.3">
      <c r="F31">
        <f t="shared" ref="F31:U31" si="36">MOD(ROUNDDOWN(ABS($C7) / F$27,0),2)</f>
        <v>1</v>
      </c>
      <c r="G31">
        <f t="shared" si="36"/>
        <v>1</v>
      </c>
      <c r="H31">
        <f t="shared" si="36"/>
        <v>1</v>
      </c>
      <c r="I31">
        <f t="shared" si="36"/>
        <v>1</v>
      </c>
      <c r="J31">
        <f t="shared" si="36"/>
        <v>0</v>
      </c>
      <c r="K31">
        <f t="shared" si="36"/>
        <v>1</v>
      </c>
      <c r="L31">
        <f t="shared" si="36"/>
        <v>0</v>
      </c>
      <c r="M31">
        <f t="shared" si="36"/>
        <v>0</v>
      </c>
      <c r="N31">
        <f t="shared" si="36"/>
        <v>1</v>
      </c>
      <c r="O31">
        <f t="shared" si="36"/>
        <v>0</v>
      </c>
      <c r="P31">
        <f t="shared" si="36"/>
        <v>1</v>
      </c>
      <c r="Q31">
        <f t="shared" si="36"/>
        <v>1</v>
      </c>
      <c r="R31">
        <f t="shared" si="36"/>
        <v>1</v>
      </c>
      <c r="S31">
        <f t="shared" si="36"/>
        <v>0</v>
      </c>
      <c r="T31">
        <f t="shared" si="36"/>
        <v>1</v>
      </c>
      <c r="U31">
        <f t="shared" si="36"/>
        <v>0</v>
      </c>
    </row>
    <row r="32" spans="6:49" ht="14" x14ac:dyDescent="0.3">
      <c r="F32">
        <f t="shared" ref="F32:U32" si="37">MOD(ROUNDDOWN(ABS($C8) / F$27,0),2)</f>
        <v>0</v>
      </c>
      <c r="G32">
        <f t="shared" si="37"/>
        <v>1</v>
      </c>
      <c r="H32">
        <f t="shared" si="37"/>
        <v>1</v>
      </c>
      <c r="I32">
        <f t="shared" si="37"/>
        <v>1</v>
      </c>
      <c r="J32">
        <f t="shared" si="37"/>
        <v>0</v>
      </c>
      <c r="K32">
        <f t="shared" si="37"/>
        <v>0</v>
      </c>
      <c r="L32">
        <f t="shared" si="37"/>
        <v>0</v>
      </c>
      <c r="M32">
        <f t="shared" si="37"/>
        <v>1</v>
      </c>
      <c r="N32">
        <f t="shared" si="37"/>
        <v>1</v>
      </c>
      <c r="O32">
        <f t="shared" si="37"/>
        <v>0</v>
      </c>
      <c r="P32">
        <f t="shared" si="37"/>
        <v>1</v>
      </c>
      <c r="Q32">
        <f t="shared" si="37"/>
        <v>0</v>
      </c>
      <c r="R32">
        <f t="shared" si="37"/>
        <v>1</v>
      </c>
      <c r="S32">
        <f t="shared" si="37"/>
        <v>1</v>
      </c>
      <c r="T32">
        <f t="shared" si="37"/>
        <v>1</v>
      </c>
      <c r="U32">
        <f t="shared" si="37"/>
        <v>0</v>
      </c>
    </row>
    <row r="33" spans="6:49" ht="14" x14ac:dyDescent="0.3">
      <c r="F33">
        <f t="shared" ref="F33:U33" si="38">MOD(ROUNDDOWN(ABS($C9) / F$27,0),2)</f>
        <v>0</v>
      </c>
      <c r="G33">
        <f t="shared" si="38"/>
        <v>0</v>
      </c>
      <c r="H33">
        <f t="shared" si="38"/>
        <v>0</v>
      </c>
      <c r="I33">
        <f t="shared" si="38"/>
        <v>0</v>
      </c>
      <c r="J33">
        <f t="shared" si="38"/>
        <v>1</v>
      </c>
      <c r="K33">
        <f t="shared" si="38"/>
        <v>0</v>
      </c>
      <c r="L33">
        <f t="shared" si="38"/>
        <v>1</v>
      </c>
      <c r="M33">
        <f t="shared" si="38"/>
        <v>1</v>
      </c>
      <c r="N33">
        <f t="shared" si="38"/>
        <v>0</v>
      </c>
      <c r="O33">
        <f t="shared" si="38"/>
        <v>1</v>
      </c>
      <c r="P33">
        <f t="shared" si="38"/>
        <v>0</v>
      </c>
      <c r="Q33">
        <f t="shared" si="38"/>
        <v>0</v>
      </c>
      <c r="R33">
        <f t="shared" si="38"/>
        <v>0</v>
      </c>
      <c r="S33">
        <f t="shared" si="38"/>
        <v>1</v>
      </c>
      <c r="T33">
        <f t="shared" si="38"/>
        <v>1</v>
      </c>
      <c r="U33">
        <f t="shared" si="38"/>
        <v>0</v>
      </c>
      <c r="Z33" t="b">
        <f t="shared" ref="Z33:AM33" si="39">IF(AA34+AA35+AA33 &gt; 1,TRUE())</f>
        <v>1</v>
      </c>
      <c r="AA33" t="b">
        <f t="shared" si="39"/>
        <v>1</v>
      </c>
      <c r="AB33" t="b">
        <f t="shared" si="39"/>
        <v>1</v>
      </c>
      <c r="AC33" t="b">
        <f t="shared" si="39"/>
        <v>1</v>
      </c>
      <c r="AD33" t="b">
        <f t="shared" si="39"/>
        <v>0</v>
      </c>
      <c r="AE33" t="b">
        <f t="shared" si="39"/>
        <v>0</v>
      </c>
      <c r="AF33" t="b">
        <f t="shared" si="39"/>
        <v>0</v>
      </c>
      <c r="AG33" t="b">
        <f t="shared" si="39"/>
        <v>0</v>
      </c>
      <c r="AH33" t="b">
        <f t="shared" si="39"/>
        <v>0</v>
      </c>
      <c r="AI33" t="b">
        <f t="shared" si="39"/>
        <v>0</v>
      </c>
      <c r="AJ33" t="b">
        <f t="shared" si="39"/>
        <v>0</v>
      </c>
      <c r="AK33" t="b">
        <f t="shared" si="39"/>
        <v>0</v>
      </c>
      <c r="AL33" t="b">
        <f t="shared" si="39"/>
        <v>0</v>
      </c>
      <c r="AM33" t="b">
        <f t="shared" si="39"/>
        <v>0</v>
      </c>
      <c r="AN33" t="b">
        <f>IF(AO34+AO35 &gt; 1,TRUE())</f>
        <v>0</v>
      </c>
      <c r="AQ33" t="s">
        <v>4</v>
      </c>
      <c r="AR33" t="s">
        <v>5</v>
      </c>
      <c r="AS33" t="s">
        <v>6</v>
      </c>
      <c r="AT33" t="s">
        <v>7</v>
      </c>
      <c r="AU33" t="s">
        <v>8</v>
      </c>
      <c r="AV33" t="s">
        <v>9</v>
      </c>
    </row>
    <row r="34" spans="6:49" ht="14" x14ac:dyDescent="0.3">
      <c r="F34" s="1" t="s">
        <v>56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X34" t="str">
        <f>E10</f>
        <v xml:space="preserve">B7 = </v>
      </c>
      <c r="Z34">
        <f t="shared" ref="Z34:AO35" si="40">F10</f>
        <v>1</v>
      </c>
      <c r="AA34">
        <f t="shared" si="40"/>
        <v>1</v>
      </c>
      <c r="AB34">
        <f t="shared" si="40"/>
        <v>1</v>
      </c>
      <c r="AC34">
        <f t="shared" si="40"/>
        <v>1</v>
      </c>
      <c r="AD34">
        <f t="shared" si="40"/>
        <v>1</v>
      </c>
      <c r="AE34">
        <f t="shared" si="40"/>
        <v>0</v>
      </c>
      <c r="AF34">
        <f t="shared" si="40"/>
        <v>1</v>
      </c>
      <c r="AG34">
        <f t="shared" si="40"/>
        <v>0</v>
      </c>
      <c r="AH34">
        <f t="shared" si="40"/>
        <v>0</v>
      </c>
      <c r="AI34">
        <f t="shared" si="40"/>
        <v>0</v>
      </c>
      <c r="AJ34">
        <f t="shared" si="40"/>
        <v>1</v>
      </c>
      <c r="AK34">
        <f t="shared" si="40"/>
        <v>1</v>
      </c>
      <c r="AL34">
        <f t="shared" si="40"/>
        <v>0</v>
      </c>
      <c r="AM34">
        <f t="shared" si="40"/>
        <v>1</v>
      </c>
      <c r="AN34">
        <f t="shared" si="40"/>
        <v>1</v>
      </c>
      <c r="AO34">
        <f t="shared" si="40"/>
        <v>0</v>
      </c>
      <c r="AQ34">
        <f>Y37</f>
        <v>1</v>
      </c>
      <c r="AR34">
        <f>IF(AND(Z34 = Z35, NOT(Z35 = Z37)), 1, 0)</f>
        <v>1</v>
      </c>
      <c r="AS34">
        <f>IF(Y40 = 0,1,0)</f>
        <v>0</v>
      </c>
      <c r="AT34">
        <f>IF(AL33+AL34+AL35 &gt; 1, 1, 0)</f>
        <v>0</v>
      </c>
      <c r="AU34">
        <f>IF(Z37,0,1)</f>
        <v>1</v>
      </c>
      <c r="AV34">
        <f>IF(MOD(SUM(AL37:AO37),2) = 0, 1,0)</f>
        <v>0</v>
      </c>
    </row>
    <row r="35" spans="6:49" ht="14" x14ac:dyDescent="0.3">
      <c r="F35">
        <f t="shared" ref="F35:S35" si="41">IF(NOT(G28)+G35&gt;1,1,0)</f>
        <v>0</v>
      </c>
      <c r="G35">
        <f t="shared" si="41"/>
        <v>0</v>
      </c>
      <c r="H35">
        <f t="shared" si="41"/>
        <v>0</v>
      </c>
      <c r="I35">
        <f t="shared" si="41"/>
        <v>0</v>
      </c>
      <c r="J35">
        <f t="shared" si="41"/>
        <v>0</v>
      </c>
      <c r="K35">
        <f t="shared" si="41"/>
        <v>0</v>
      </c>
      <c r="L35">
        <f t="shared" si="41"/>
        <v>0</v>
      </c>
      <c r="M35">
        <f t="shared" si="41"/>
        <v>0</v>
      </c>
      <c r="N35">
        <f t="shared" si="41"/>
        <v>0</v>
      </c>
      <c r="O35">
        <f t="shared" si="41"/>
        <v>0</v>
      </c>
      <c r="P35">
        <f t="shared" si="41"/>
        <v>0</v>
      </c>
      <c r="Q35">
        <f t="shared" si="41"/>
        <v>0</v>
      </c>
      <c r="R35">
        <f t="shared" si="41"/>
        <v>0</v>
      </c>
      <c r="S35">
        <f t="shared" si="41"/>
        <v>0</v>
      </c>
      <c r="T35">
        <f t="shared" ref="T35:T40" si="42">IF(NOT(U28)+1&gt;1,1,0)</f>
        <v>1</v>
      </c>
      <c r="X35" t="str">
        <f>E11</f>
        <v xml:space="preserve">B8 = </v>
      </c>
      <c r="Z35">
        <f t="shared" si="40"/>
        <v>1</v>
      </c>
      <c r="AA35">
        <f t="shared" si="40"/>
        <v>0</v>
      </c>
      <c r="AB35">
        <f t="shared" si="40"/>
        <v>0</v>
      </c>
      <c r="AC35">
        <f t="shared" si="40"/>
        <v>0</v>
      </c>
      <c r="AD35">
        <f t="shared" si="40"/>
        <v>1</v>
      </c>
      <c r="AE35">
        <f t="shared" si="40"/>
        <v>0</v>
      </c>
      <c r="AF35">
        <f t="shared" si="40"/>
        <v>0</v>
      </c>
      <c r="AG35">
        <f t="shared" si="40"/>
        <v>0</v>
      </c>
      <c r="AH35">
        <f t="shared" si="40"/>
        <v>1</v>
      </c>
      <c r="AI35">
        <f t="shared" si="40"/>
        <v>0</v>
      </c>
      <c r="AJ35">
        <f t="shared" si="40"/>
        <v>0</v>
      </c>
      <c r="AK35">
        <f t="shared" si="40"/>
        <v>0</v>
      </c>
      <c r="AL35">
        <f t="shared" si="40"/>
        <v>1</v>
      </c>
      <c r="AM35">
        <f t="shared" si="40"/>
        <v>0</v>
      </c>
      <c r="AN35">
        <f t="shared" si="40"/>
        <v>0</v>
      </c>
      <c r="AO35">
        <f t="shared" si="40"/>
        <v>0</v>
      </c>
    </row>
    <row r="36" spans="6:49" ht="14" x14ac:dyDescent="0.3">
      <c r="F36">
        <f t="shared" ref="F36:S36" si="43">IF(NOT(G29)+G36&gt;1,1,0)</f>
        <v>0</v>
      </c>
      <c r="G36">
        <f t="shared" si="43"/>
        <v>0</v>
      </c>
      <c r="H36">
        <f t="shared" si="43"/>
        <v>0</v>
      </c>
      <c r="I36">
        <f t="shared" si="43"/>
        <v>0</v>
      </c>
      <c r="J36">
        <f t="shared" si="43"/>
        <v>0</v>
      </c>
      <c r="K36">
        <f t="shared" si="43"/>
        <v>0</v>
      </c>
      <c r="L36">
        <f t="shared" si="43"/>
        <v>0</v>
      </c>
      <c r="M36">
        <f t="shared" si="43"/>
        <v>0</v>
      </c>
      <c r="N36">
        <f t="shared" si="43"/>
        <v>0</v>
      </c>
      <c r="O36">
        <f t="shared" si="43"/>
        <v>0</v>
      </c>
      <c r="P36">
        <f t="shared" si="43"/>
        <v>0</v>
      </c>
      <c r="Q36">
        <f t="shared" si="43"/>
        <v>0</v>
      </c>
      <c r="R36">
        <f t="shared" si="43"/>
        <v>1</v>
      </c>
      <c r="S36">
        <f t="shared" si="43"/>
        <v>1</v>
      </c>
      <c r="T36">
        <f t="shared" si="42"/>
        <v>1</v>
      </c>
      <c r="X36" t="s">
        <v>19</v>
      </c>
      <c r="Y36" t="s">
        <v>20</v>
      </c>
      <c r="Z36" t="s">
        <v>21</v>
      </c>
      <c r="AA36" t="s">
        <v>21</v>
      </c>
      <c r="AB36" t="s">
        <v>21</v>
      </c>
      <c r="AC36" t="s">
        <v>21</v>
      </c>
      <c r="AD36" t="s">
        <v>21</v>
      </c>
      <c r="AE36" t="s">
        <v>21</v>
      </c>
      <c r="AF36" t="s">
        <v>21</v>
      </c>
      <c r="AG36" t="s">
        <v>21</v>
      </c>
      <c r="AH36" t="s">
        <v>21</v>
      </c>
      <c r="AI36" t="s">
        <v>21</v>
      </c>
      <c r="AJ36" t="s">
        <v>21</v>
      </c>
      <c r="AK36" t="s">
        <v>21</v>
      </c>
      <c r="AL36" t="s">
        <v>21</v>
      </c>
      <c r="AM36" t="s">
        <v>21</v>
      </c>
      <c r="AN36" t="s">
        <v>21</v>
      </c>
      <c r="AO36" t="s">
        <v>21</v>
      </c>
      <c r="AQ36" s="3" t="str">
        <f>"при сумме "&amp;IF(Z34=Z35,IF(Z34,"отрицательных","положительных"),"")&amp;CHAR(10)&amp;"чисел "&amp;" получено "&amp;IF(Z37,"отрицательное","положительное")&amp;"  число."&amp;CHAR(10)&amp;IF(NOT(AQ34),"Не происходит перноса","Происходит перенос")&amp;CHAR(10)&amp;"и "&amp;IF(NOT(AR34),"не происходит переполнения","происходит переполнение")&amp;"."&amp;CHAR(10)&amp;"Выражение вычислено "&amp;IF(X40=Y40,"корректно","некорректно")</f>
        <v>при сумме отрицательных
чисел  получено положительное  число.
Происходит перенос
и происходит переполнение.
Выражение вычислено некорректно</v>
      </c>
      <c r="AR36" s="3"/>
      <c r="AS36" s="3"/>
      <c r="AT36" s="3"/>
      <c r="AU36" s="3"/>
      <c r="AV36" s="3"/>
      <c r="AW36" s="3"/>
    </row>
    <row r="37" spans="6:49" ht="14" x14ac:dyDescent="0.3">
      <c r="F37">
        <f t="shared" ref="F37:S37" si="44">IF(NOT(G30)+G37&gt;1,1,0)</f>
        <v>0</v>
      </c>
      <c r="G37">
        <f t="shared" si="44"/>
        <v>0</v>
      </c>
      <c r="H37">
        <f t="shared" si="44"/>
        <v>0</v>
      </c>
      <c r="I37">
        <f t="shared" si="44"/>
        <v>0</v>
      </c>
      <c r="J37">
        <f t="shared" si="44"/>
        <v>0</v>
      </c>
      <c r="K37">
        <f t="shared" si="44"/>
        <v>0</v>
      </c>
      <c r="L37">
        <f t="shared" si="44"/>
        <v>0</v>
      </c>
      <c r="M37">
        <f t="shared" si="44"/>
        <v>0</v>
      </c>
      <c r="N37">
        <f t="shared" si="44"/>
        <v>0</v>
      </c>
      <c r="O37">
        <f t="shared" si="44"/>
        <v>0</v>
      </c>
      <c r="P37">
        <f t="shared" si="44"/>
        <v>0</v>
      </c>
      <c r="Q37">
        <f t="shared" si="44"/>
        <v>0</v>
      </c>
      <c r="R37">
        <f t="shared" si="44"/>
        <v>0</v>
      </c>
      <c r="S37">
        <f t="shared" si="44"/>
        <v>0</v>
      </c>
      <c r="T37">
        <f t="shared" si="42"/>
        <v>1</v>
      </c>
      <c r="X37" t="s">
        <v>57</v>
      </c>
      <c r="Y37">
        <f>IF(Z33+Z34+Z35 &gt; 1, 1, 0)</f>
        <v>1</v>
      </c>
      <c r="Z37">
        <f t="shared" ref="Z37:AO37" si="45">MOD(Z34+Z35,2)</f>
        <v>0</v>
      </c>
      <c r="AA37">
        <f t="shared" si="45"/>
        <v>1</v>
      </c>
      <c r="AB37">
        <f t="shared" si="45"/>
        <v>1</v>
      </c>
      <c r="AC37">
        <f t="shared" si="45"/>
        <v>1</v>
      </c>
      <c r="AD37">
        <f t="shared" si="45"/>
        <v>0</v>
      </c>
      <c r="AE37">
        <f t="shared" si="45"/>
        <v>0</v>
      </c>
      <c r="AF37">
        <f t="shared" si="45"/>
        <v>1</v>
      </c>
      <c r="AG37">
        <f t="shared" si="45"/>
        <v>0</v>
      </c>
      <c r="AH37">
        <f t="shared" si="45"/>
        <v>1</v>
      </c>
      <c r="AI37">
        <f t="shared" si="45"/>
        <v>0</v>
      </c>
      <c r="AJ37">
        <f t="shared" si="45"/>
        <v>1</v>
      </c>
      <c r="AK37">
        <f t="shared" si="45"/>
        <v>1</v>
      </c>
      <c r="AL37">
        <f t="shared" si="45"/>
        <v>1</v>
      </c>
      <c r="AM37">
        <f t="shared" si="45"/>
        <v>1</v>
      </c>
      <c r="AN37">
        <f t="shared" si="45"/>
        <v>1</v>
      </c>
      <c r="AO37">
        <f t="shared" si="45"/>
        <v>0</v>
      </c>
      <c r="AQ37" s="3"/>
      <c r="AR37" s="3"/>
      <c r="AS37" s="3"/>
      <c r="AT37" s="3"/>
      <c r="AU37" s="3"/>
      <c r="AV37" s="3"/>
      <c r="AW37" s="3"/>
    </row>
    <row r="38" spans="6:49" ht="14" x14ac:dyDescent="0.3">
      <c r="F38">
        <f t="shared" ref="F38:S38" si="46">IF(NOT(G31)+G38&gt;1,1,0)</f>
        <v>0</v>
      </c>
      <c r="G38">
        <f t="shared" si="46"/>
        <v>0</v>
      </c>
      <c r="H38">
        <f t="shared" si="46"/>
        <v>0</v>
      </c>
      <c r="I38">
        <f t="shared" si="46"/>
        <v>0</v>
      </c>
      <c r="J38">
        <f t="shared" si="46"/>
        <v>0</v>
      </c>
      <c r="K38">
        <f t="shared" si="46"/>
        <v>0</v>
      </c>
      <c r="L38">
        <f t="shared" si="46"/>
        <v>0</v>
      </c>
      <c r="M38">
        <f t="shared" si="46"/>
        <v>0</v>
      </c>
      <c r="N38">
        <f t="shared" si="46"/>
        <v>0</v>
      </c>
      <c r="O38">
        <f t="shared" si="46"/>
        <v>0</v>
      </c>
      <c r="P38">
        <f t="shared" si="46"/>
        <v>0</v>
      </c>
      <c r="Q38">
        <f t="shared" si="46"/>
        <v>0</v>
      </c>
      <c r="R38">
        <f t="shared" si="46"/>
        <v>0</v>
      </c>
      <c r="S38">
        <f t="shared" si="46"/>
        <v>0</v>
      </c>
      <c r="T38">
        <f t="shared" si="42"/>
        <v>1</v>
      </c>
      <c r="Z38">
        <f t="shared" ref="Z38:AM38" si="47">MOD(NOT(Z37) + IF(AND(NOT(AA37), NOT(AA38)),1,0),2)</f>
        <v>1</v>
      </c>
      <c r="AA38">
        <f t="shared" si="47"/>
        <v>0</v>
      </c>
      <c r="AB38">
        <f t="shared" si="47"/>
        <v>0</v>
      </c>
      <c r="AC38">
        <f t="shared" si="47"/>
        <v>0</v>
      </c>
      <c r="AD38">
        <f t="shared" si="47"/>
        <v>1</v>
      </c>
      <c r="AE38">
        <f t="shared" si="47"/>
        <v>1</v>
      </c>
      <c r="AF38">
        <f t="shared" si="47"/>
        <v>0</v>
      </c>
      <c r="AG38">
        <f t="shared" si="47"/>
        <v>1</v>
      </c>
      <c r="AH38">
        <f t="shared" si="47"/>
        <v>0</v>
      </c>
      <c r="AI38">
        <f t="shared" si="47"/>
        <v>1</v>
      </c>
      <c r="AJ38">
        <f t="shared" si="47"/>
        <v>0</v>
      </c>
      <c r="AK38">
        <f t="shared" si="47"/>
        <v>0</v>
      </c>
      <c r="AL38">
        <f t="shared" si="47"/>
        <v>0</v>
      </c>
      <c r="AM38">
        <f t="shared" si="47"/>
        <v>0</v>
      </c>
      <c r="AN38">
        <f>MOD(NOT(AN37)+IF(NOT(AO37)+1 &gt; 1, 1, 0), 2)</f>
        <v>1</v>
      </c>
      <c r="AO38">
        <f>MOD(NOT(AO37) + 1, 2)</f>
        <v>0</v>
      </c>
      <c r="AQ38" s="3"/>
      <c r="AR38" s="3"/>
      <c r="AS38" s="3"/>
      <c r="AT38" s="3"/>
      <c r="AU38" s="3"/>
      <c r="AV38" s="3"/>
      <c r="AW38" s="3"/>
    </row>
    <row r="39" spans="6:49" ht="14" x14ac:dyDescent="0.3">
      <c r="F39">
        <f t="shared" ref="F39:S39" si="48">IF(NOT(G32)+G39&gt;1,1,0)</f>
        <v>0</v>
      </c>
      <c r="G39">
        <f t="shared" si="48"/>
        <v>0</v>
      </c>
      <c r="H39">
        <f t="shared" si="48"/>
        <v>0</v>
      </c>
      <c r="I39">
        <f t="shared" si="48"/>
        <v>0</v>
      </c>
      <c r="J39">
        <f t="shared" si="48"/>
        <v>0</v>
      </c>
      <c r="K39">
        <f t="shared" si="48"/>
        <v>0</v>
      </c>
      <c r="L39">
        <f t="shared" si="48"/>
        <v>0</v>
      </c>
      <c r="M39">
        <f t="shared" si="48"/>
        <v>0</v>
      </c>
      <c r="N39">
        <f t="shared" si="48"/>
        <v>0</v>
      </c>
      <c r="O39">
        <f t="shared" si="48"/>
        <v>0</v>
      </c>
      <c r="P39">
        <f t="shared" si="48"/>
        <v>0</v>
      </c>
      <c r="Q39">
        <f t="shared" si="48"/>
        <v>0</v>
      </c>
      <c r="R39">
        <f t="shared" si="48"/>
        <v>0</v>
      </c>
      <c r="S39">
        <f t="shared" si="48"/>
        <v>0</v>
      </c>
      <c r="T39">
        <f t="shared" si="42"/>
        <v>1</v>
      </c>
      <c r="X39" t="s">
        <v>58</v>
      </c>
      <c r="Z39" s="1" t="str">
        <f>IF(NOT(Z37), BIN2HEX($Z37&amp;$AA37&amp;$AB37&amp;AC37), BIN2HEX($Z38&amp;$AA38&amp;$AB38&amp;AC38))</f>
        <v>7</v>
      </c>
      <c r="AA39" s="1"/>
      <c r="AB39" s="1"/>
      <c r="AC39" s="1"/>
      <c r="AD39" s="1" t="str">
        <f>IF(NOT(Z37),BIN2HEX($AD37&amp;$AE37&amp;$AF37&amp;$AG37),BIN2HEX($AD38&amp;$AE38&amp;$AF38&amp;$AG38))</f>
        <v>2</v>
      </c>
      <c r="AE39" s="1"/>
      <c r="AF39" s="1"/>
      <c r="AG39" s="1"/>
      <c r="AH39" s="1" t="str">
        <f>IF(NOT(Z37),BIN2HEX($AH37&amp;$AI37&amp;$AJ37&amp;$AK37), BIN2HEX($AH38&amp;$AI38&amp;$AJ38&amp;$AK38))</f>
        <v>B</v>
      </c>
      <c r="AI39" s="1"/>
      <c r="AJ39" s="1"/>
      <c r="AK39" s="1"/>
      <c r="AL39" s="1" t="str">
        <f>IF(NOT(Z37),BIN2HEX($AL37&amp;$AM37&amp;$AN37&amp;$AO37), BIN2HEX($AL38&amp;$AM38&amp;$AN38&amp;$AO38))</f>
        <v>E</v>
      </c>
      <c r="AM39" s="1"/>
      <c r="AN39" s="1"/>
      <c r="AO39" s="1"/>
      <c r="AQ39" s="3"/>
      <c r="AR39" s="3"/>
      <c r="AS39" s="3"/>
      <c r="AT39" s="3"/>
      <c r="AU39" s="3"/>
      <c r="AV39" s="3"/>
      <c r="AW39" s="3"/>
    </row>
    <row r="40" spans="6:49" ht="14" x14ac:dyDescent="0.3">
      <c r="F40">
        <f t="shared" ref="F40:S40" si="49">IF(NOT(G33)+G40&gt;1,1,0)</f>
        <v>0</v>
      </c>
      <c r="G40">
        <f t="shared" si="49"/>
        <v>0</v>
      </c>
      <c r="H40">
        <f t="shared" si="49"/>
        <v>0</v>
      </c>
      <c r="I40">
        <f t="shared" si="49"/>
        <v>0</v>
      </c>
      <c r="J40">
        <f t="shared" si="49"/>
        <v>0</v>
      </c>
      <c r="K40">
        <f t="shared" si="49"/>
        <v>0</v>
      </c>
      <c r="L40">
        <f t="shared" si="49"/>
        <v>0</v>
      </c>
      <c r="M40">
        <f t="shared" si="49"/>
        <v>0</v>
      </c>
      <c r="N40">
        <f t="shared" si="49"/>
        <v>0</v>
      </c>
      <c r="O40">
        <f t="shared" si="49"/>
        <v>0</v>
      </c>
      <c r="P40">
        <f t="shared" si="49"/>
        <v>0</v>
      </c>
      <c r="Q40">
        <f t="shared" si="49"/>
        <v>0</v>
      </c>
      <c r="R40">
        <f t="shared" si="49"/>
        <v>0</v>
      </c>
      <c r="S40">
        <f t="shared" si="49"/>
        <v>0</v>
      </c>
      <c r="T40">
        <f t="shared" si="42"/>
        <v>1</v>
      </c>
      <c r="X40">
        <f>C10+C11</f>
        <v>-32066</v>
      </c>
      <c r="Y40" s="1">
        <f>IF(NOT(Z37), 1, -1) * HEX2DEC(Z39&amp;AD39&amp;AH39&amp;AL39)</f>
        <v>29374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Q40" s="3"/>
      <c r="AR40" s="3"/>
      <c r="AS40" s="3"/>
      <c r="AT40" s="3"/>
      <c r="AU40" s="3"/>
      <c r="AV40" s="3"/>
      <c r="AW40" s="3"/>
    </row>
    <row r="41" spans="6:49" ht="14" x14ac:dyDescent="0.3"/>
    <row r="42" spans="6:49" ht="14" x14ac:dyDescent="0.3">
      <c r="F42" s="1" t="s">
        <v>59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6:49" ht="14" x14ac:dyDescent="0.3">
      <c r="F43">
        <f t="shared" ref="F43:T43" si="50">MOD(NOT(F28)+F35,2)</f>
        <v>1</v>
      </c>
      <c r="G43">
        <f t="shared" si="50"/>
        <v>1</v>
      </c>
      <c r="H43">
        <f t="shared" si="50"/>
        <v>1</v>
      </c>
      <c r="I43">
        <f t="shared" si="50"/>
        <v>1</v>
      </c>
      <c r="J43">
        <f t="shared" si="50"/>
        <v>1</v>
      </c>
      <c r="K43">
        <f t="shared" si="50"/>
        <v>0</v>
      </c>
      <c r="L43">
        <f t="shared" si="50"/>
        <v>1</v>
      </c>
      <c r="M43">
        <f t="shared" si="50"/>
        <v>0</v>
      </c>
      <c r="N43">
        <f t="shared" si="50"/>
        <v>0</v>
      </c>
      <c r="O43">
        <f t="shared" si="50"/>
        <v>0</v>
      </c>
      <c r="P43">
        <f t="shared" si="50"/>
        <v>1</v>
      </c>
      <c r="Q43">
        <f t="shared" si="50"/>
        <v>1</v>
      </c>
      <c r="R43">
        <f t="shared" si="50"/>
        <v>0</v>
      </c>
      <c r="S43">
        <f t="shared" si="50"/>
        <v>1</v>
      </c>
      <c r="T43">
        <f t="shared" si="50"/>
        <v>1</v>
      </c>
      <c r="U43">
        <f t="shared" ref="U43:U48" si="51">MOD(NOT(U28) + 1, 2)</f>
        <v>0</v>
      </c>
      <c r="Z43" t="b">
        <f t="shared" ref="Z43:AM43" si="52">IF(AA44+AA45+AA43 &gt; 1,TRUE())</f>
        <v>0</v>
      </c>
      <c r="AA43" t="b">
        <f t="shared" si="52"/>
        <v>0</v>
      </c>
      <c r="AB43" t="b">
        <f t="shared" si="52"/>
        <v>0</v>
      </c>
      <c r="AC43" t="b">
        <f t="shared" si="52"/>
        <v>0</v>
      </c>
      <c r="AD43" t="b">
        <f t="shared" si="52"/>
        <v>0</v>
      </c>
      <c r="AE43" t="b">
        <f t="shared" si="52"/>
        <v>0</v>
      </c>
      <c r="AF43" t="b">
        <f t="shared" si="52"/>
        <v>0</v>
      </c>
      <c r="AG43" t="b">
        <f t="shared" si="52"/>
        <v>1</v>
      </c>
      <c r="AH43" t="b">
        <f t="shared" si="52"/>
        <v>0</v>
      </c>
      <c r="AI43" t="b">
        <f t="shared" si="52"/>
        <v>1</v>
      </c>
      <c r="AJ43" t="b">
        <f t="shared" si="52"/>
        <v>1</v>
      </c>
      <c r="AK43" t="b">
        <f t="shared" si="52"/>
        <v>1</v>
      </c>
      <c r="AL43" t="b">
        <f t="shared" si="52"/>
        <v>0</v>
      </c>
      <c r="AM43" t="b">
        <f t="shared" si="52"/>
        <v>0</v>
      </c>
      <c r="AN43" t="b">
        <f>IF(AO44+AO45 &gt; 1,TRUE())</f>
        <v>0</v>
      </c>
      <c r="AQ43" t="s">
        <v>4</v>
      </c>
      <c r="AR43" t="s">
        <v>5</v>
      </c>
      <c r="AS43" t="s">
        <v>6</v>
      </c>
      <c r="AT43" t="s">
        <v>7</v>
      </c>
      <c r="AU43" t="s">
        <v>8</v>
      </c>
      <c r="AV43" t="s">
        <v>9</v>
      </c>
    </row>
    <row r="44" spans="6:49" ht="14" x14ac:dyDescent="0.3">
      <c r="F44">
        <f t="shared" ref="F44:T44" si="53">MOD(NOT(F29)+F36,2)</f>
        <v>1</v>
      </c>
      <c r="G44">
        <f t="shared" si="53"/>
        <v>0</v>
      </c>
      <c r="H44">
        <f t="shared" si="53"/>
        <v>0</v>
      </c>
      <c r="I44">
        <f t="shared" si="53"/>
        <v>0</v>
      </c>
      <c r="J44">
        <f t="shared" si="53"/>
        <v>1</v>
      </c>
      <c r="K44">
        <f t="shared" si="53"/>
        <v>0</v>
      </c>
      <c r="L44">
        <f t="shared" si="53"/>
        <v>0</v>
      </c>
      <c r="M44">
        <f t="shared" si="53"/>
        <v>0</v>
      </c>
      <c r="N44">
        <f t="shared" si="53"/>
        <v>1</v>
      </c>
      <c r="O44">
        <f t="shared" si="53"/>
        <v>0</v>
      </c>
      <c r="P44">
        <f t="shared" si="53"/>
        <v>0</v>
      </c>
      <c r="Q44">
        <f t="shared" si="53"/>
        <v>0</v>
      </c>
      <c r="R44">
        <f t="shared" si="53"/>
        <v>1</v>
      </c>
      <c r="S44">
        <f t="shared" si="53"/>
        <v>0</v>
      </c>
      <c r="T44">
        <f t="shared" si="53"/>
        <v>0</v>
      </c>
      <c r="U44">
        <f t="shared" si="51"/>
        <v>0</v>
      </c>
      <c r="X44" t="str">
        <f>E11</f>
        <v xml:space="preserve">B8 = </v>
      </c>
      <c r="Z44">
        <f t="shared" ref="Z44:AO45" si="54">F11</f>
        <v>1</v>
      </c>
      <c r="AA44">
        <f t="shared" si="54"/>
        <v>0</v>
      </c>
      <c r="AB44">
        <f t="shared" si="54"/>
        <v>0</v>
      </c>
      <c r="AC44">
        <f t="shared" si="54"/>
        <v>0</v>
      </c>
      <c r="AD44">
        <f t="shared" si="54"/>
        <v>1</v>
      </c>
      <c r="AE44">
        <f t="shared" si="54"/>
        <v>0</v>
      </c>
      <c r="AF44">
        <f t="shared" si="54"/>
        <v>0</v>
      </c>
      <c r="AG44">
        <f t="shared" si="54"/>
        <v>0</v>
      </c>
      <c r="AH44">
        <f t="shared" si="54"/>
        <v>1</v>
      </c>
      <c r="AI44">
        <f t="shared" si="54"/>
        <v>0</v>
      </c>
      <c r="AJ44">
        <f t="shared" si="54"/>
        <v>0</v>
      </c>
      <c r="AK44">
        <f t="shared" si="54"/>
        <v>0</v>
      </c>
      <c r="AL44">
        <f t="shared" si="54"/>
        <v>1</v>
      </c>
      <c r="AM44">
        <f t="shared" si="54"/>
        <v>0</v>
      </c>
      <c r="AN44">
        <f t="shared" si="54"/>
        <v>0</v>
      </c>
      <c r="AO44">
        <f t="shared" si="54"/>
        <v>0</v>
      </c>
      <c r="AQ44">
        <f>Y47</f>
        <v>1</v>
      </c>
      <c r="AR44">
        <f>IF(AND(Z44 = Z45, NOT(Z45 = Z47)), 1, 0)</f>
        <v>1</v>
      </c>
      <c r="AS44">
        <f>IF(Y50 = 0,1,0)</f>
        <v>0</v>
      </c>
      <c r="AT44">
        <f>IF(AL43+AL44+AL45 &gt; 1, 1, 0)</f>
        <v>1</v>
      </c>
      <c r="AU44">
        <f>IF(Z47,0,1)</f>
        <v>1</v>
      </c>
      <c r="AV44">
        <f>IF(MOD(SUM(AL47:AO47),2) = 0, 1,0)</f>
        <v>1</v>
      </c>
    </row>
    <row r="45" spans="6:49" ht="14" x14ac:dyDescent="0.3">
      <c r="F45">
        <f t="shared" ref="F45:T45" si="55">MOD(NOT(F30)+F37,2)</f>
        <v>1</v>
      </c>
      <c r="G45">
        <f t="shared" si="55"/>
        <v>0</v>
      </c>
      <c r="H45">
        <f t="shared" si="55"/>
        <v>0</v>
      </c>
      <c r="I45">
        <f t="shared" si="55"/>
        <v>0</v>
      </c>
      <c r="J45">
        <f t="shared" si="55"/>
        <v>0</v>
      </c>
      <c r="K45">
        <f t="shared" si="55"/>
        <v>0</v>
      </c>
      <c r="L45">
        <f t="shared" si="55"/>
        <v>1</v>
      </c>
      <c r="M45">
        <f t="shared" si="55"/>
        <v>0</v>
      </c>
      <c r="N45">
        <f t="shared" si="55"/>
        <v>1</v>
      </c>
      <c r="O45">
        <f t="shared" si="55"/>
        <v>0</v>
      </c>
      <c r="P45">
        <f t="shared" si="55"/>
        <v>1</v>
      </c>
      <c r="Q45">
        <f t="shared" si="55"/>
        <v>1</v>
      </c>
      <c r="R45">
        <f t="shared" si="55"/>
        <v>1</v>
      </c>
      <c r="S45">
        <f t="shared" si="55"/>
        <v>1</v>
      </c>
      <c r="T45">
        <f t="shared" si="55"/>
        <v>1</v>
      </c>
      <c r="U45">
        <f t="shared" si="51"/>
        <v>0</v>
      </c>
      <c r="X45" t="str">
        <f>E12</f>
        <v xml:space="preserve">B9 = </v>
      </c>
      <c r="Z45">
        <f t="shared" si="54"/>
        <v>1</v>
      </c>
      <c r="AA45">
        <f t="shared" si="54"/>
        <v>0</v>
      </c>
      <c r="AB45">
        <f t="shared" si="54"/>
        <v>0</v>
      </c>
      <c r="AC45">
        <f t="shared" si="54"/>
        <v>0</v>
      </c>
      <c r="AD45">
        <f t="shared" si="54"/>
        <v>0</v>
      </c>
      <c r="AE45">
        <f t="shared" si="54"/>
        <v>0</v>
      </c>
      <c r="AF45">
        <f t="shared" si="54"/>
        <v>1</v>
      </c>
      <c r="AG45">
        <f t="shared" si="54"/>
        <v>0</v>
      </c>
      <c r="AH45">
        <f t="shared" si="54"/>
        <v>1</v>
      </c>
      <c r="AI45">
        <f t="shared" si="54"/>
        <v>0</v>
      </c>
      <c r="AJ45">
        <f t="shared" si="54"/>
        <v>1</v>
      </c>
      <c r="AK45">
        <f t="shared" si="54"/>
        <v>1</v>
      </c>
      <c r="AL45">
        <f t="shared" si="54"/>
        <v>1</v>
      </c>
      <c r="AM45">
        <f t="shared" si="54"/>
        <v>1</v>
      </c>
      <c r="AN45">
        <f t="shared" si="54"/>
        <v>1</v>
      </c>
      <c r="AO45">
        <f t="shared" si="54"/>
        <v>0</v>
      </c>
    </row>
    <row r="46" spans="6:49" ht="14" x14ac:dyDescent="0.3">
      <c r="F46">
        <f t="shared" ref="F46:T46" si="56">MOD(NOT(F31)+F38,2)</f>
        <v>0</v>
      </c>
      <c r="G46">
        <f t="shared" si="56"/>
        <v>0</v>
      </c>
      <c r="H46">
        <f t="shared" si="56"/>
        <v>0</v>
      </c>
      <c r="I46">
        <f t="shared" si="56"/>
        <v>0</v>
      </c>
      <c r="J46">
        <f t="shared" si="56"/>
        <v>1</v>
      </c>
      <c r="K46">
        <f t="shared" si="56"/>
        <v>0</v>
      </c>
      <c r="L46">
        <f t="shared" si="56"/>
        <v>1</v>
      </c>
      <c r="M46">
        <f t="shared" si="56"/>
        <v>1</v>
      </c>
      <c r="N46">
        <f t="shared" si="56"/>
        <v>0</v>
      </c>
      <c r="O46">
        <f t="shared" si="56"/>
        <v>1</v>
      </c>
      <c r="P46">
        <f t="shared" si="56"/>
        <v>0</v>
      </c>
      <c r="Q46">
        <f t="shared" si="56"/>
        <v>0</v>
      </c>
      <c r="R46">
        <f t="shared" si="56"/>
        <v>0</v>
      </c>
      <c r="S46">
        <f t="shared" si="56"/>
        <v>1</v>
      </c>
      <c r="T46">
        <f t="shared" si="56"/>
        <v>1</v>
      </c>
      <c r="U46">
        <f t="shared" si="51"/>
        <v>0</v>
      </c>
      <c r="X46" t="s">
        <v>19</v>
      </c>
      <c r="Y46" t="s">
        <v>20</v>
      </c>
      <c r="Z46" t="s">
        <v>21</v>
      </c>
      <c r="AA46" t="s">
        <v>21</v>
      </c>
      <c r="AB46" t="s">
        <v>21</v>
      </c>
      <c r="AC46" t="s">
        <v>21</v>
      </c>
      <c r="AD46" t="s">
        <v>21</v>
      </c>
      <c r="AE46" t="s">
        <v>21</v>
      </c>
      <c r="AF46" t="s">
        <v>21</v>
      </c>
      <c r="AG46" t="s">
        <v>21</v>
      </c>
      <c r="AH46" t="s">
        <v>21</v>
      </c>
      <c r="AI46" t="s">
        <v>21</v>
      </c>
      <c r="AJ46" t="s">
        <v>21</v>
      </c>
      <c r="AK46" t="s">
        <v>21</v>
      </c>
      <c r="AL46" t="s">
        <v>21</v>
      </c>
      <c r="AM46" t="s">
        <v>21</v>
      </c>
      <c r="AN46" t="s">
        <v>21</v>
      </c>
      <c r="AO46" t="s">
        <v>21</v>
      </c>
      <c r="AQ46" s="3" t="str">
        <f>"при сумме "&amp;IF(Z44=Z45,IF(Z44,"отрицательных","положительных"),"")&amp;CHAR(10)&amp;"чисел "&amp;" получено "&amp;IF(Z47,"отрицательное","положительное")&amp;"  число."&amp;CHAR(10)&amp;IF(NOT(AQ44),"Не происходит перноса","Происходит перенос")&amp;CHAR(10)&amp;"и "&amp;IF(NOT(AR44),"не происходит переполнения","происходит переполнение")&amp;"."&amp;CHAR(10)&amp;"Выражение вычислено "&amp;IF(X50=Y50,"корректно","некорректно")</f>
        <v>при сумме отрицательных
чисел  получено положительное  число.
Происходит перенос
и происходит переполнение.
Выражение вычислено некорректно</v>
      </c>
      <c r="AR46" s="3"/>
      <c r="AS46" s="3"/>
      <c r="AT46" s="3"/>
      <c r="AU46" s="3"/>
      <c r="AV46" s="3"/>
      <c r="AW46" s="3"/>
    </row>
    <row r="47" spans="6:49" ht="14" x14ac:dyDescent="0.3">
      <c r="F47">
        <f t="shared" ref="F47:T47" si="57">MOD(NOT(F32)+F39,2)</f>
        <v>1</v>
      </c>
      <c r="G47">
        <f t="shared" si="57"/>
        <v>0</v>
      </c>
      <c r="H47">
        <f t="shared" si="57"/>
        <v>0</v>
      </c>
      <c r="I47">
        <f t="shared" si="57"/>
        <v>0</v>
      </c>
      <c r="J47">
        <f t="shared" si="57"/>
        <v>1</v>
      </c>
      <c r="K47">
        <f t="shared" si="57"/>
        <v>1</v>
      </c>
      <c r="L47">
        <f t="shared" si="57"/>
        <v>1</v>
      </c>
      <c r="M47">
        <f t="shared" si="57"/>
        <v>0</v>
      </c>
      <c r="N47">
        <f t="shared" si="57"/>
        <v>0</v>
      </c>
      <c r="O47">
        <f t="shared" si="57"/>
        <v>1</v>
      </c>
      <c r="P47">
        <f t="shared" si="57"/>
        <v>0</v>
      </c>
      <c r="Q47">
        <f t="shared" si="57"/>
        <v>1</v>
      </c>
      <c r="R47">
        <f t="shared" si="57"/>
        <v>0</v>
      </c>
      <c r="S47">
        <f t="shared" si="57"/>
        <v>0</v>
      </c>
      <c r="T47">
        <f t="shared" si="57"/>
        <v>1</v>
      </c>
      <c r="U47">
        <f t="shared" si="51"/>
        <v>0</v>
      </c>
      <c r="X47" t="s">
        <v>60</v>
      </c>
      <c r="Y47">
        <f>IF(Z43+Z44+Z45 &gt; 1, 1, 0)</f>
        <v>1</v>
      </c>
      <c r="Z47">
        <f t="shared" ref="Z47:AO47" si="58">MOD(Z44+Z45,2)</f>
        <v>0</v>
      </c>
      <c r="AA47">
        <f t="shared" si="58"/>
        <v>0</v>
      </c>
      <c r="AB47">
        <f t="shared" si="58"/>
        <v>0</v>
      </c>
      <c r="AC47">
        <f t="shared" si="58"/>
        <v>0</v>
      </c>
      <c r="AD47">
        <f t="shared" si="58"/>
        <v>1</v>
      </c>
      <c r="AE47">
        <f t="shared" si="58"/>
        <v>0</v>
      </c>
      <c r="AF47">
        <f t="shared" si="58"/>
        <v>1</v>
      </c>
      <c r="AG47">
        <f t="shared" si="58"/>
        <v>0</v>
      </c>
      <c r="AH47">
        <f t="shared" si="58"/>
        <v>0</v>
      </c>
      <c r="AI47">
        <f t="shared" si="58"/>
        <v>0</v>
      </c>
      <c r="AJ47">
        <f t="shared" si="58"/>
        <v>1</v>
      </c>
      <c r="AK47">
        <f t="shared" si="58"/>
        <v>1</v>
      </c>
      <c r="AL47">
        <f t="shared" si="58"/>
        <v>0</v>
      </c>
      <c r="AM47">
        <f t="shared" si="58"/>
        <v>1</v>
      </c>
      <c r="AN47">
        <f t="shared" si="58"/>
        <v>1</v>
      </c>
      <c r="AO47">
        <f t="shared" si="58"/>
        <v>0</v>
      </c>
      <c r="AQ47" s="3"/>
      <c r="AR47" s="3"/>
      <c r="AS47" s="3"/>
      <c r="AT47" s="3"/>
      <c r="AU47" s="3"/>
      <c r="AV47" s="3"/>
      <c r="AW47" s="3"/>
    </row>
    <row r="48" spans="6:49" ht="14" x14ac:dyDescent="0.3">
      <c r="F48">
        <f t="shared" ref="F48:T48" si="59">MOD(NOT(F33)+F40,2)</f>
        <v>1</v>
      </c>
      <c r="G48">
        <f t="shared" si="59"/>
        <v>1</v>
      </c>
      <c r="H48">
        <f t="shared" si="59"/>
        <v>1</v>
      </c>
      <c r="I48">
        <f t="shared" si="59"/>
        <v>1</v>
      </c>
      <c r="J48">
        <f t="shared" si="59"/>
        <v>0</v>
      </c>
      <c r="K48">
        <f t="shared" si="59"/>
        <v>1</v>
      </c>
      <c r="L48">
        <f t="shared" si="59"/>
        <v>0</v>
      </c>
      <c r="M48">
        <f t="shared" si="59"/>
        <v>0</v>
      </c>
      <c r="N48">
        <f t="shared" si="59"/>
        <v>1</v>
      </c>
      <c r="O48">
        <f t="shared" si="59"/>
        <v>0</v>
      </c>
      <c r="P48">
        <f t="shared" si="59"/>
        <v>1</v>
      </c>
      <c r="Q48">
        <f t="shared" si="59"/>
        <v>1</v>
      </c>
      <c r="R48">
        <f t="shared" si="59"/>
        <v>1</v>
      </c>
      <c r="S48">
        <f t="shared" si="59"/>
        <v>0</v>
      </c>
      <c r="T48">
        <f t="shared" si="59"/>
        <v>1</v>
      </c>
      <c r="U48">
        <f t="shared" si="51"/>
        <v>0</v>
      </c>
      <c r="Z48">
        <f t="shared" ref="Z48:AM48" si="60">MOD(NOT(Z47) + IF(AND(NOT(AA47), NOT(AA48)),1,0),2)</f>
        <v>1</v>
      </c>
      <c r="AA48">
        <f t="shared" si="60"/>
        <v>1</v>
      </c>
      <c r="AB48">
        <f t="shared" si="60"/>
        <v>1</v>
      </c>
      <c r="AC48">
        <f t="shared" si="60"/>
        <v>1</v>
      </c>
      <c r="AD48">
        <f t="shared" si="60"/>
        <v>0</v>
      </c>
      <c r="AE48">
        <f t="shared" si="60"/>
        <v>1</v>
      </c>
      <c r="AF48">
        <f t="shared" si="60"/>
        <v>0</v>
      </c>
      <c r="AG48">
        <f t="shared" si="60"/>
        <v>1</v>
      </c>
      <c r="AH48">
        <f t="shared" si="60"/>
        <v>1</v>
      </c>
      <c r="AI48">
        <f t="shared" si="60"/>
        <v>1</v>
      </c>
      <c r="AJ48">
        <f t="shared" si="60"/>
        <v>0</v>
      </c>
      <c r="AK48">
        <f t="shared" si="60"/>
        <v>0</v>
      </c>
      <c r="AL48">
        <f t="shared" si="60"/>
        <v>1</v>
      </c>
      <c r="AM48">
        <f t="shared" si="60"/>
        <v>0</v>
      </c>
      <c r="AN48">
        <f>MOD(NOT(AN47)+IF(NOT(AO47)+1 &gt; 1, 1, 0), 2)</f>
        <v>1</v>
      </c>
      <c r="AO48">
        <f>MOD(NOT(AO47) + 1, 2)</f>
        <v>0</v>
      </c>
      <c r="AQ48" s="3"/>
      <c r="AR48" s="3"/>
      <c r="AS48" s="3"/>
      <c r="AT48" s="3"/>
      <c r="AU48" s="3"/>
      <c r="AV48" s="3"/>
      <c r="AW48" s="3"/>
    </row>
    <row r="49" spans="24:49" ht="14" x14ac:dyDescent="0.3">
      <c r="X49" t="s">
        <v>61</v>
      </c>
      <c r="Z49" s="1" t="str">
        <f>IF(NOT(Z47), BIN2HEX($Z47&amp;$AA47&amp;$AB47&amp;AC47), BIN2HEX($Z48&amp;$AA48&amp;$AB48&amp;AC48))</f>
        <v>0</v>
      </c>
      <c r="AA49" s="1"/>
      <c r="AB49" s="1"/>
      <c r="AC49" s="1"/>
      <c r="AD49" s="1" t="str">
        <f>IF(NOT(Z47),BIN2HEX($AD47&amp;$AE47&amp;$AF47&amp;$AG47),BIN2HEX($AD48&amp;$AE48&amp;$AF48&amp;$AG48))</f>
        <v>A</v>
      </c>
      <c r="AE49" s="1"/>
      <c r="AF49" s="1"/>
      <c r="AG49" s="1"/>
      <c r="AH49" s="1" t="str">
        <f>IF(NOT(Z47),BIN2HEX($AH47&amp;$AI47&amp;$AJ47&amp;$AK47), BIN2HEX($AH48&amp;$AI48&amp;$AJ48&amp;$AK48))</f>
        <v>3</v>
      </c>
      <c r="AI49" s="1"/>
      <c r="AJ49" s="1"/>
      <c r="AK49" s="1"/>
      <c r="AL49" s="1" t="str">
        <f>IF(NOT(Z47),BIN2HEX($AL47&amp;$AM47&amp;$AN47&amp;$AO47), BIN2HEX($AL48&amp;$AM48&amp;$AN48&amp;$AO48))</f>
        <v>6</v>
      </c>
      <c r="AM49" s="1"/>
      <c r="AN49" s="1"/>
      <c r="AO49" s="1"/>
      <c r="AQ49" s="3"/>
      <c r="AR49" s="3"/>
      <c r="AS49" s="3"/>
      <c r="AT49" s="3"/>
      <c r="AU49" s="3"/>
      <c r="AV49" s="3"/>
      <c r="AW49" s="3"/>
    </row>
    <row r="50" spans="24:49" ht="14" x14ac:dyDescent="0.3">
      <c r="X50">
        <f>C11+C12</f>
        <v>-62650</v>
      </c>
      <c r="Y50" s="1">
        <f>IF(NOT(Z47), 1, -1) * HEX2DEC(Z49&amp;AD49&amp;AH49&amp;AL49)</f>
        <v>2614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Q50" s="3"/>
      <c r="AR50" s="3"/>
      <c r="AS50" s="3"/>
      <c r="AT50" s="3"/>
      <c r="AU50" s="3"/>
      <c r="AV50" s="3"/>
      <c r="AW50" s="3"/>
    </row>
    <row r="51" spans="24:49" ht="14" x14ac:dyDescent="0.3"/>
    <row r="52" spans="24:49" ht="14" x14ac:dyDescent="0.3"/>
    <row r="53" spans="24:49" ht="14" x14ac:dyDescent="0.3">
      <c r="Z53" t="b">
        <f t="shared" ref="Z53:AM53" si="61">IF(AA54+AA55+AA53 &gt; 1,TRUE())</f>
        <v>0</v>
      </c>
      <c r="AA53" t="b">
        <f t="shared" si="61"/>
        <v>0</v>
      </c>
      <c r="AB53" t="b">
        <f t="shared" si="61"/>
        <v>0</v>
      </c>
      <c r="AC53" t="b">
        <f t="shared" si="61"/>
        <v>0</v>
      </c>
      <c r="AD53" t="b">
        <f t="shared" si="61"/>
        <v>0</v>
      </c>
      <c r="AE53" t="b">
        <f t="shared" si="61"/>
        <v>1</v>
      </c>
      <c r="AF53" t="b">
        <f t="shared" si="61"/>
        <v>1</v>
      </c>
      <c r="AG53" t="b">
        <f t="shared" si="61"/>
        <v>0</v>
      </c>
      <c r="AH53" t="b">
        <f t="shared" si="61"/>
        <v>0</v>
      </c>
      <c r="AI53" t="b">
        <f t="shared" si="61"/>
        <v>0</v>
      </c>
      <c r="AJ53" t="b">
        <f t="shared" si="61"/>
        <v>1</v>
      </c>
      <c r="AK53" t="b">
        <f t="shared" si="61"/>
        <v>0</v>
      </c>
      <c r="AL53" t="b">
        <f t="shared" si="61"/>
        <v>0</v>
      </c>
      <c r="AM53" t="b">
        <f t="shared" si="61"/>
        <v>0</v>
      </c>
      <c r="AN53" t="b">
        <f>IF(AO54+AO55 &gt; 1,TRUE())</f>
        <v>0</v>
      </c>
      <c r="AQ53" t="s">
        <v>4</v>
      </c>
      <c r="AR53" t="s">
        <v>5</v>
      </c>
      <c r="AS53" t="s">
        <v>6</v>
      </c>
      <c r="AT53" t="s">
        <v>7</v>
      </c>
      <c r="AU53" t="s">
        <v>8</v>
      </c>
      <c r="AV53" t="s">
        <v>9</v>
      </c>
    </row>
    <row r="54" spans="24:49" ht="14" x14ac:dyDescent="0.3">
      <c r="X54" t="str">
        <f>E4</f>
        <v xml:space="preserve">B1 = </v>
      </c>
      <c r="Z54">
        <f t="shared" ref="Z54:AO54" si="62">G4</f>
        <v>0</v>
      </c>
      <c r="AA54">
        <f t="shared" si="62"/>
        <v>0</v>
      </c>
      <c r="AB54">
        <f t="shared" si="62"/>
        <v>0</v>
      </c>
      <c r="AC54">
        <f t="shared" si="62"/>
        <v>0</v>
      </c>
      <c r="AD54">
        <f t="shared" si="62"/>
        <v>1</v>
      </c>
      <c r="AE54">
        <f t="shared" si="62"/>
        <v>0</v>
      </c>
      <c r="AF54">
        <f t="shared" si="62"/>
        <v>1</v>
      </c>
      <c r="AG54">
        <f t="shared" si="62"/>
        <v>1</v>
      </c>
      <c r="AH54">
        <f t="shared" si="62"/>
        <v>1</v>
      </c>
      <c r="AI54">
        <f t="shared" si="62"/>
        <v>0</v>
      </c>
      <c r="AJ54">
        <f t="shared" si="62"/>
        <v>0</v>
      </c>
      <c r="AK54">
        <f t="shared" si="62"/>
        <v>1</v>
      </c>
      <c r="AL54">
        <f t="shared" si="62"/>
        <v>0</v>
      </c>
      <c r="AM54">
        <f t="shared" si="62"/>
        <v>1</v>
      </c>
      <c r="AN54">
        <f t="shared" si="62"/>
        <v>0</v>
      </c>
      <c r="AO54">
        <f t="shared" si="62"/>
        <v>0</v>
      </c>
      <c r="AQ54">
        <f>Y57</f>
        <v>0</v>
      </c>
      <c r="AR54">
        <f>IF(AND(Z54 = Z55, NOT(Z55 = Z57)), 1, 0)</f>
        <v>0</v>
      </c>
      <c r="AS54">
        <f>IF(Y60 = 0,1,0)</f>
        <v>0</v>
      </c>
      <c r="AT54">
        <f>IF(AL53+AL54+AL55 &gt; 1, 1, 0)</f>
        <v>0</v>
      </c>
      <c r="AU54">
        <f>IF(Z57,0,1)</f>
        <v>1</v>
      </c>
      <c r="AV54">
        <f>IF(MOD(SUM(AL57:AO57),2) = 0, 1,0)</f>
        <v>0</v>
      </c>
    </row>
    <row r="55" spans="24:49" ht="14" x14ac:dyDescent="0.3">
      <c r="X55" t="str">
        <f>E11</f>
        <v xml:space="preserve">B8 = </v>
      </c>
      <c r="Z55">
        <f t="shared" ref="Z55:AO55" si="63">G11</f>
        <v>0</v>
      </c>
      <c r="AA55">
        <f t="shared" si="63"/>
        <v>0</v>
      </c>
      <c r="AB55">
        <f t="shared" si="63"/>
        <v>0</v>
      </c>
      <c r="AC55">
        <f t="shared" si="63"/>
        <v>1</v>
      </c>
      <c r="AD55">
        <f t="shared" si="63"/>
        <v>0</v>
      </c>
      <c r="AE55">
        <f t="shared" si="63"/>
        <v>0</v>
      </c>
      <c r="AF55">
        <f t="shared" si="63"/>
        <v>0</v>
      </c>
      <c r="AG55">
        <f t="shared" si="63"/>
        <v>1</v>
      </c>
      <c r="AH55">
        <f t="shared" si="63"/>
        <v>0</v>
      </c>
      <c r="AI55">
        <f t="shared" si="63"/>
        <v>0</v>
      </c>
      <c r="AJ55">
        <f t="shared" si="63"/>
        <v>0</v>
      </c>
      <c r="AK55">
        <f t="shared" si="63"/>
        <v>1</v>
      </c>
      <c r="AL55">
        <f t="shared" si="63"/>
        <v>0</v>
      </c>
      <c r="AM55">
        <f t="shared" si="63"/>
        <v>0</v>
      </c>
      <c r="AN55">
        <f t="shared" si="63"/>
        <v>0</v>
      </c>
      <c r="AO55">
        <f t="shared" si="63"/>
        <v>0</v>
      </c>
    </row>
    <row r="56" spans="24:49" ht="14" x14ac:dyDescent="0.3">
      <c r="X56" t="s">
        <v>19</v>
      </c>
      <c r="Y56" t="s">
        <v>20</v>
      </c>
      <c r="Z56" t="s">
        <v>21</v>
      </c>
      <c r="AA56" t="s">
        <v>21</v>
      </c>
      <c r="AB56" t="s">
        <v>21</v>
      </c>
      <c r="AC56" t="s">
        <v>21</v>
      </c>
      <c r="AD56" t="s">
        <v>21</v>
      </c>
      <c r="AE56" t="s">
        <v>21</v>
      </c>
      <c r="AF56" t="s">
        <v>21</v>
      </c>
      <c r="AG56" t="s">
        <v>21</v>
      </c>
      <c r="AH56" t="s">
        <v>21</v>
      </c>
      <c r="AI56" t="s">
        <v>21</v>
      </c>
      <c r="AJ56" t="s">
        <v>21</v>
      </c>
      <c r="AK56" t="s">
        <v>21</v>
      </c>
      <c r="AL56" t="s">
        <v>21</v>
      </c>
      <c r="AM56" t="s">
        <v>21</v>
      </c>
      <c r="AN56" t="s">
        <v>21</v>
      </c>
      <c r="AO56" t="s">
        <v>21</v>
      </c>
      <c r="AQ56" s="3" t="str">
        <f>"при сумме "&amp;IF(Z54=Z55,IF(Z54,"отрицательных","положительных"),"")&amp;CHAR(10)&amp;"чисел "&amp;" получено "&amp;IF(Z57,"отрицательное","положительное")&amp;"  число."&amp;CHAR(10)&amp;IF(NOT(AQ54),"Не происходит перноса","Происходит перенос")&amp;CHAR(10)&amp;"и "&amp;IF(NOT(AR54),"не происходит переполнения","происходит переполнение")&amp;"."&amp;CHAR(10)&amp;"Выражение вычислено "&amp;IF(X60=Y60,"корректно","некорректно")</f>
        <v>при сумме положительных
чисел  получено положительное  число.
Не происходит перноса
и не происходит переполнения.
Выражение вычислено некорректно</v>
      </c>
      <c r="AR56" s="3"/>
      <c r="AS56" s="3"/>
      <c r="AT56" s="3"/>
      <c r="AU56" s="3"/>
      <c r="AV56" s="3"/>
      <c r="AW56" s="3"/>
    </row>
    <row r="57" spans="24:49" ht="14" x14ac:dyDescent="0.3">
      <c r="X57" t="s">
        <v>62</v>
      </c>
      <c r="Y57">
        <f>IF(Z53+Z54+Z55 &gt; 1, 1, 0)</f>
        <v>0</v>
      </c>
      <c r="Z57">
        <f t="shared" ref="Z57:AO57" si="64">MOD(Z54+Z55,2)</f>
        <v>0</v>
      </c>
      <c r="AA57">
        <f t="shared" si="64"/>
        <v>0</v>
      </c>
      <c r="AB57">
        <f t="shared" si="64"/>
        <v>0</v>
      </c>
      <c r="AC57">
        <f t="shared" si="64"/>
        <v>1</v>
      </c>
      <c r="AD57">
        <f t="shared" si="64"/>
        <v>1</v>
      </c>
      <c r="AE57">
        <f t="shared" si="64"/>
        <v>0</v>
      </c>
      <c r="AF57">
        <f t="shared" si="64"/>
        <v>1</v>
      </c>
      <c r="AG57">
        <f t="shared" si="64"/>
        <v>0</v>
      </c>
      <c r="AH57">
        <f t="shared" si="64"/>
        <v>1</v>
      </c>
      <c r="AI57">
        <f t="shared" si="64"/>
        <v>0</v>
      </c>
      <c r="AJ57">
        <f t="shared" si="64"/>
        <v>0</v>
      </c>
      <c r="AK57">
        <f t="shared" si="64"/>
        <v>0</v>
      </c>
      <c r="AL57">
        <f t="shared" si="64"/>
        <v>0</v>
      </c>
      <c r="AM57">
        <f t="shared" si="64"/>
        <v>1</v>
      </c>
      <c r="AN57">
        <f t="shared" si="64"/>
        <v>0</v>
      </c>
      <c r="AO57">
        <f t="shared" si="64"/>
        <v>0</v>
      </c>
      <c r="AQ57" s="3"/>
      <c r="AR57" s="3"/>
      <c r="AS57" s="3"/>
      <c r="AT57" s="3"/>
      <c r="AU57" s="3"/>
      <c r="AV57" s="3"/>
      <c r="AW57" s="3"/>
    </row>
    <row r="58" spans="24:49" ht="14" x14ac:dyDescent="0.3">
      <c r="Z58">
        <f t="shared" ref="Z58:AM58" si="65">MOD(NOT(Z57) + IF(AND(NOT(AA57), NOT(AA58)),1,0),2)</f>
        <v>1</v>
      </c>
      <c r="AA58">
        <f t="shared" si="65"/>
        <v>1</v>
      </c>
      <c r="AB58">
        <f t="shared" si="65"/>
        <v>1</v>
      </c>
      <c r="AC58">
        <f t="shared" si="65"/>
        <v>0</v>
      </c>
      <c r="AD58">
        <f t="shared" si="65"/>
        <v>0</v>
      </c>
      <c r="AE58">
        <f t="shared" si="65"/>
        <v>1</v>
      </c>
      <c r="AF58">
        <f t="shared" si="65"/>
        <v>0</v>
      </c>
      <c r="AG58">
        <f t="shared" si="65"/>
        <v>1</v>
      </c>
      <c r="AH58">
        <f t="shared" si="65"/>
        <v>0</v>
      </c>
      <c r="AI58">
        <f t="shared" si="65"/>
        <v>1</v>
      </c>
      <c r="AJ58">
        <f t="shared" si="65"/>
        <v>1</v>
      </c>
      <c r="AK58">
        <f t="shared" si="65"/>
        <v>1</v>
      </c>
      <c r="AL58">
        <f t="shared" si="65"/>
        <v>1</v>
      </c>
      <c r="AM58">
        <f t="shared" si="65"/>
        <v>1</v>
      </c>
      <c r="AN58">
        <f>MOD(NOT(AN57)+IF(NOT(AO57)+1 &gt; 1, 1, 0), 2)</f>
        <v>0</v>
      </c>
      <c r="AO58">
        <f>MOD(NOT(AO57) + 1, 2)</f>
        <v>0</v>
      </c>
      <c r="AQ58" s="3"/>
      <c r="AR58" s="3"/>
      <c r="AS58" s="3"/>
      <c r="AT58" s="3"/>
      <c r="AU58" s="3"/>
      <c r="AV58" s="3"/>
      <c r="AW58" s="3"/>
    </row>
    <row r="59" spans="24:49" ht="14" x14ac:dyDescent="0.3">
      <c r="X59" t="s">
        <v>63</v>
      </c>
      <c r="Z59" s="1" t="str">
        <f>IF(NOT(Z57), BIN2HEX($Z57&amp;$AA57&amp;$AB57&amp;AC57), BIN2HEX($Z58&amp;$AA58&amp;$AB58&amp;AC58))</f>
        <v>1</v>
      </c>
      <c r="AA59" s="1"/>
      <c r="AB59" s="1"/>
      <c r="AC59" s="1"/>
      <c r="AD59" s="1" t="str">
        <f>IF(NOT(Z57),BIN2HEX($AD57&amp;$AE57&amp;$AF57&amp;$AG57),BIN2HEX($AD58&amp;$AE58&amp;$AF58&amp;$AG58))</f>
        <v>A</v>
      </c>
      <c r="AE59" s="1"/>
      <c r="AF59" s="1"/>
      <c r="AG59" s="1"/>
      <c r="AH59" s="1" t="str">
        <f>IF(NOT(Z57),BIN2HEX($AH57&amp;$AI57&amp;$AJ57&amp;$AK57), BIN2HEX($AH58&amp;$AI58&amp;$AJ58&amp;$AK58))</f>
        <v>8</v>
      </c>
      <c r="AI59" s="1"/>
      <c r="AJ59" s="1"/>
      <c r="AK59" s="1"/>
      <c r="AL59" s="1" t="str">
        <f>IF(NOT(Z57),BIN2HEX($AL57&amp;$AM57&amp;$AN57&amp;$AO57), BIN2HEX($AL58&amp;$AM58&amp;$AN58&amp;$AO58))</f>
        <v>4</v>
      </c>
      <c r="AM59" s="1"/>
      <c r="AN59" s="1"/>
      <c r="AO59" s="1"/>
      <c r="AQ59" s="3"/>
      <c r="AR59" s="3"/>
      <c r="AS59" s="3"/>
      <c r="AT59" s="3"/>
      <c r="AU59" s="3"/>
      <c r="AV59" s="3"/>
      <c r="AW59" s="3"/>
    </row>
    <row r="60" spans="24:49" ht="14" x14ac:dyDescent="0.3">
      <c r="X60">
        <f>C11+C14</f>
        <v>-59686</v>
      </c>
      <c r="Y60" s="1">
        <f>IF(NOT(Z57), 1, -1) * HEX2DEC(Z59&amp;AD59&amp;AH59&amp;AL59)</f>
        <v>6788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Q60" s="3"/>
      <c r="AR60" s="3"/>
      <c r="AS60" s="3"/>
      <c r="AT60" s="3"/>
      <c r="AU60" s="3"/>
      <c r="AV60" s="3"/>
      <c r="AW60" s="3"/>
    </row>
    <row r="61" spans="24:49" ht="14" x14ac:dyDescent="0.3"/>
    <row r="62" spans="24:49" ht="14" x14ac:dyDescent="0.3"/>
    <row r="63" spans="24:49" ht="14" x14ac:dyDescent="0.3">
      <c r="Z63" t="b">
        <f t="shared" ref="Z63:AM63" si="66">IF(AA64+AA65+AA63 &gt; 1,TRUE())</f>
        <v>1</v>
      </c>
      <c r="AA63" t="b">
        <f t="shared" si="66"/>
        <v>1</v>
      </c>
      <c r="AB63" t="b">
        <f t="shared" si="66"/>
        <v>1</v>
      </c>
      <c r="AC63" t="b">
        <f t="shared" si="66"/>
        <v>1</v>
      </c>
      <c r="AD63" t="b">
        <f t="shared" si="66"/>
        <v>0</v>
      </c>
      <c r="AE63" t="b">
        <f t="shared" si="66"/>
        <v>0</v>
      </c>
      <c r="AF63" t="b">
        <f t="shared" si="66"/>
        <v>0</v>
      </c>
      <c r="AG63" t="b">
        <f t="shared" si="66"/>
        <v>1</v>
      </c>
      <c r="AH63" t="b">
        <f t="shared" si="66"/>
        <v>0</v>
      </c>
      <c r="AI63" t="b">
        <f t="shared" si="66"/>
        <v>0</v>
      </c>
      <c r="AJ63" t="b">
        <f t="shared" si="66"/>
        <v>0</v>
      </c>
      <c r="AK63" t="b">
        <f t="shared" si="66"/>
        <v>0</v>
      </c>
      <c r="AL63" t="b">
        <f t="shared" si="66"/>
        <v>1</v>
      </c>
      <c r="AM63" t="b">
        <f t="shared" si="66"/>
        <v>0</v>
      </c>
      <c r="AN63" t="b">
        <f>IF(AO64+AO65 &gt; 1,TRUE())</f>
        <v>0</v>
      </c>
      <c r="AQ63" t="s">
        <v>4</v>
      </c>
      <c r="AR63" t="s">
        <v>5</v>
      </c>
      <c r="AS63" t="s">
        <v>6</v>
      </c>
      <c r="AT63" t="s">
        <v>7</v>
      </c>
      <c r="AU63" t="s">
        <v>8</v>
      </c>
      <c r="AV63" t="s">
        <v>9</v>
      </c>
    </row>
    <row r="64" spans="24:49" ht="14" x14ac:dyDescent="0.3">
      <c r="X64" t="str">
        <f>E6</f>
        <v xml:space="preserve">B3 = </v>
      </c>
      <c r="Z64">
        <f t="shared" ref="Z64:AO64" si="67">G6</f>
        <v>1</v>
      </c>
      <c r="AA64">
        <f t="shared" si="67"/>
        <v>1</v>
      </c>
      <c r="AB64">
        <f t="shared" si="67"/>
        <v>1</v>
      </c>
      <c r="AC64">
        <f t="shared" si="67"/>
        <v>1</v>
      </c>
      <c r="AD64">
        <f t="shared" si="67"/>
        <v>1</v>
      </c>
      <c r="AE64">
        <f t="shared" si="67"/>
        <v>0</v>
      </c>
      <c r="AF64">
        <f t="shared" si="67"/>
        <v>1</v>
      </c>
      <c r="AG64">
        <f t="shared" si="67"/>
        <v>0</v>
      </c>
      <c r="AH64">
        <f t="shared" si="67"/>
        <v>1</v>
      </c>
      <c r="AI64">
        <f t="shared" si="67"/>
        <v>0</v>
      </c>
      <c r="AJ64">
        <f t="shared" si="67"/>
        <v>0</v>
      </c>
      <c r="AK64">
        <f t="shared" si="67"/>
        <v>0</v>
      </c>
      <c r="AL64">
        <f t="shared" si="67"/>
        <v>0</v>
      </c>
      <c r="AM64">
        <f t="shared" si="67"/>
        <v>1</v>
      </c>
      <c r="AN64">
        <f t="shared" si="67"/>
        <v>0</v>
      </c>
      <c r="AO64">
        <f t="shared" si="67"/>
        <v>0</v>
      </c>
      <c r="AQ64">
        <f>Y67</f>
        <v>1</v>
      </c>
      <c r="AR64">
        <f>IF(AND(Z64 = Z65, NOT(Z65 = Z67)), 1, 0)</f>
        <v>0</v>
      </c>
      <c r="AS64">
        <f>IF(Y70 = 0,1,0)</f>
        <v>0</v>
      </c>
      <c r="AT64">
        <f>IF(AL63+AL64+AL65 &gt; 1, 1, 0)</f>
        <v>0</v>
      </c>
      <c r="AU64">
        <f>IF(Z67,0,1)</f>
        <v>0</v>
      </c>
      <c r="AV64">
        <f>IF(MOD(SUM(AL67:AO67),2) = 0, 1,0)</f>
        <v>1</v>
      </c>
    </row>
    <row r="65" spans="24:49" ht="14" x14ac:dyDescent="0.3">
      <c r="X65" t="str">
        <f>E14</f>
        <v xml:space="preserve">B11 = </v>
      </c>
      <c r="Z65">
        <f t="shared" ref="Z65:AO65" si="68">G14</f>
        <v>0</v>
      </c>
      <c r="AA65">
        <f t="shared" si="68"/>
        <v>0</v>
      </c>
      <c r="AB65">
        <f t="shared" si="68"/>
        <v>0</v>
      </c>
      <c r="AC65">
        <f t="shared" si="68"/>
        <v>1</v>
      </c>
      <c r="AD65">
        <f t="shared" si="68"/>
        <v>1</v>
      </c>
      <c r="AE65">
        <f t="shared" si="68"/>
        <v>1</v>
      </c>
      <c r="AF65">
        <f t="shared" si="68"/>
        <v>0</v>
      </c>
      <c r="AG65">
        <f t="shared" si="68"/>
        <v>0</v>
      </c>
      <c r="AH65">
        <f t="shared" si="68"/>
        <v>1</v>
      </c>
      <c r="AI65">
        <f t="shared" si="68"/>
        <v>0</v>
      </c>
      <c r="AJ65">
        <f t="shared" si="68"/>
        <v>1</v>
      </c>
      <c r="AK65">
        <f t="shared" si="68"/>
        <v>0</v>
      </c>
      <c r="AL65">
        <f t="shared" si="68"/>
        <v>0</v>
      </c>
      <c r="AM65">
        <f t="shared" si="68"/>
        <v>1</v>
      </c>
      <c r="AN65">
        <f t="shared" si="68"/>
        <v>0</v>
      </c>
      <c r="AO65">
        <f t="shared" si="68"/>
        <v>0</v>
      </c>
    </row>
    <row r="66" spans="24:49" ht="14" x14ac:dyDescent="0.3">
      <c r="X66" t="s">
        <v>19</v>
      </c>
      <c r="Y66" t="s">
        <v>20</v>
      </c>
      <c r="Z66" t="s">
        <v>21</v>
      </c>
      <c r="AA66" t="s">
        <v>21</v>
      </c>
      <c r="AB66" t="s">
        <v>21</v>
      </c>
      <c r="AC66" t="s">
        <v>21</v>
      </c>
      <c r="AD66" t="s">
        <v>21</v>
      </c>
      <c r="AE66" t="s">
        <v>21</v>
      </c>
      <c r="AF66" t="s">
        <v>21</v>
      </c>
      <c r="AG66" t="s">
        <v>21</v>
      </c>
      <c r="AH66" t="s">
        <v>21</v>
      </c>
      <c r="AI66" t="s">
        <v>21</v>
      </c>
      <c r="AJ66" t="s">
        <v>21</v>
      </c>
      <c r="AK66" t="s">
        <v>21</v>
      </c>
      <c r="AL66" t="s">
        <v>21</v>
      </c>
      <c r="AM66" t="s">
        <v>21</v>
      </c>
      <c r="AN66" t="s">
        <v>21</v>
      </c>
      <c r="AO66" t="s">
        <v>21</v>
      </c>
      <c r="AQ66" s="3" t="str">
        <f>"при сумме "&amp;IF(Z64=Z65,IF(Z64,"отрицательных","положительных"),"")&amp;CHAR(10)&amp;"чисел "&amp;" получено "&amp;IF(Z67,"отрицательное","положительное")&amp;"  число."&amp;CHAR(10)&amp;IF(NOT(AQ64),"Не происходит перноса","Происходит перенос")&amp;CHAR(10)&amp;"и "&amp;IF(NOT(AR64),"не происходит переполнения","происходит переполнение")&amp;"."&amp;CHAR(10)&amp;"Выражение вычислено "&amp;IF(X70=Y70,"корректно","некорректно")</f>
        <v>при сумме 
чисел  получено отрицательное  число.
Происходит перенос
и не происходит переполнения.
Выражение вычислено некорректно</v>
      </c>
      <c r="AR66" s="3"/>
      <c r="AS66" s="3"/>
      <c r="AT66" s="3"/>
      <c r="AU66" s="3"/>
      <c r="AV66" s="3"/>
      <c r="AW66" s="3"/>
    </row>
    <row r="67" spans="24:49" ht="14" x14ac:dyDescent="0.3">
      <c r="X67" t="s">
        <v>64</v>
      </c>
      <c r="Y67">
        <f>IF(Z63+Z64+Z65 &gt; 1, 1, 0)</f>
        <v>1</v>
      </c>
      <c r="Z67">
        <f t="shared" ref="Z67:AO67" si="69">MOD(Z64+Z65,2)</f>
        <v>1</v>
      </c>
      <c r="AA67">
        <f t="shared" si="69"/>
        <v>1</v>
      </c>
      <c r="AB67">
        <f t="shared" si="69"/>
        <v>1</v>
      </c>
      <c r="AC67">
        <f t="shared" si="69"/>
        <v>0</v>
      </c>
      <c r="AD67">
        <f t="shared" si="69"/>
        <v>0</v>
      </c>
      <c r="AE67">
        <f t="shared" si="69"/>
        <v>1</v>
      </c>
      <c r="AF67">
        <f t="shared" si="69"/>
        <v>1</v>
      </c>
      <c r="AG67">
        <f t="shared" si="69"/>
        <v>0</v>
      </c>
      <c r="AH67">
        <f t="shared" si="69"/>
        <v>0</v>
      </c>
      <c r="AI67">
        <f t="shared" si="69"/>
        <v>0</v>
      </c>
      <c r="AJ67">
        <f t="shared" si="69"/>
        <v>1</v>
      </c>
      <c r="AK67">
        <f t="shared" si="69"/>
        <v>0</v>
      </c>
      <c r="AL67">
        <f t="shared" si="69"/>
        <v>0</v>
      </c>
      <c r="AM67">
        <f t="shared" si="69"/>
        <v>0</v>
      </c>
      <c r="AN67">
        <f t="shared" si="69"/>
        <v>0</v>
      </c>
      <c r="AO67">
        <f t="shared" si="69"/>
        <v>0</v>
      </c>
      <c r="AQ67" s="3"/>
      <c r="AR67" s="3"/>
      <c r="AS67" s="3"/>
      <c r="AT67" s="3"/>
      <c r="AU67" s="3"/>
      <c r="AV67" s="3"/>
      <c r="AW67" s="3"/>
    </row>
    <row r="68" spans="24:49" ht="14" x14ac:dyDescent="0.3">
      <c r="Z68">
        <f t="shared" ref="Z68:AM68" si="70">MOD(NOT(Z67) + IF(AND(NOT(AA67), NOT(AA68)),1,0),2)</f>
        <v>0</v>
      </c>
      <c r="AA68">
        <f t="shared" si="70"/>
        <v>0</v>
      </c>
      <c r="AB68">
        <f t="shared" si="70"/>
        <v>0</v>
      </c>
      <c r="AC68">
        <f t="shared" si="70"/>
        <v>1</v>
      </c>
      <c r="AD68">
        <f t="shared" si="70"/>
        <v>1</v>
      </c>
      <c r="AE68">
        <f t="shared" si="70"/>
        <v>0</v>
      </c>
      <c r="AF68">
        <f t="shared" si="70"/>
        <v>0</v>
      </c>
      <c r="AG68">
        <f t="shared" si="70"/>
        <v>1</v>
      </c>
      <c r="AH68">
        <f t="shared" si="70"/>
        <v>1</v>
      </c>
      <c r="AI68">
        <f t="shared" si="70"/>
        <v>1</v>
      </c>
      <c r="AJ68">
        <f t="shared" si="70"/>
        <v>1</v>
      </c>
      <c r="AK68">
        <f t="shared" si="70"/>
        <v>0</v>
      </c>
      <c r="AL68">
        <f t="shared" si="70"/>
        <v>0</v>
      </c>
      <c r="AM68">
        <f t="shared" si="70"/>
        <v>0</v>
      </c>
      <c r="AN68">
        <f>MOD(NOT(AN67)+IF(NOT(AO67)+1 &gt; 1, 1, 0), 2)</f>
        <v>0</v>
      </c>
      <c r="AO68">
        <f>MOD(NOT(AO67) + 1, 2)</f>
        <v>0</v>
      </c>
      <c r="AQ68" s="3"/>
      <c r="AR68" s="3"/>
      <c r="AS68" s="3"/>
      <c r="AT68" s="3"/>
      <c r="AU68" s="3"/>
      <c r="AV68" s="3"/>
      <c r="AW68" s="3"/>
    </row>
    <row r="69" spans="24:49" ht="14" x14ac:dyDescent="0.3">
      <c r="X69" t="s">
        <v>65</v>
      </c>
      <c r="Z69" s="1" t="str">
        <f>IF(NOT(Z67), BIN2HEX($Z67&amp;$AA67&amp;$AB67&amp;AC67), BIN2HEX($Z68&amp;$AA68&amp;$AB68&amp;AC68))</f>
        <v>1</v>
      </c>
      <c r="AA69" s="1"/>
      <c r="AB69" s="1"/>
      <c r="AC69" s="1"/>
      <c r="AD69" s="1" t="str">
        <f>IF(NOT(Z67),BIN2HEX($AD67&amp;$AE67&amp;$AF67&amp;$AG67),BIN2HEX($AD68&amp;$AE68&amp;$AF68&amp;$AG68))</f>
        <v>9</v>
      </c>
      <c r="AE69" s="1"/>
      <c r="AF69" s="1"/>
      <c r="AG69" s="1"/>
      <c r="AH69" s="1" t="str">
        <f>IF(NOT(Z67),BIN2HEX($AH67&amp;$AI67&amp;$AJ67&amp;$AK67), BIN2HEX($AH68&amp;$AI68&amp;$AJ68&amp;$AK68))</f>
        <v>E</v>
      </c>
      <c r="AI69" s="1"/>
      <c r="AJ69" s="1"/>
      <c r="AK69" s="1"/>
      <c r="AL69" s="1" t="str">
        <f>IF(NOT(Z67),BIN2HEX($AL67&amp;$AM67&amp;$AN67&amp;$AO67), BIN2HEX($AL68&amp;$AM68&amp;$AN68&amp;$AO68))</f>
        <v>0</v>
      </c>
      <c r="AM69" s="1"/>
      <c r="AN69" s="1"/>
      <c r="AO69" s="1"/>
      <c r="AQ69" s="3"/>
      <c r="AR69" s="3"/>
      <c r="AS69" s="3"/>
      <c r="AT69" s="3"/>
      <c r="AU69" s="3"/>
      <c r="AV69" s="3"/>
      <c r="AW69" s="3"/>
    </row>
    <row r="70" spans="24:49" ht="14" x14ac:dyDescent="0.3">
      <c r="X70">
        <f>C6+C14</f>
        <v>2964</v>
      </c>
      <c r="Y70" s="1">
        <f>IF(NOT(Z67), 1, -1) * HEX2DEC(Z69&amp;AD69&amp;AH69&amp;AL69)</f>
        <v>-6624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Q70" s="3"/>
      <c r="AR70" s="3"/>
      <c r="AS70" s="3"/>
      <c r="AT70" s="3"/>
      <c r="AU70" s="3"/>
      <c r="AV70" s="3"/>
      <c r="AW70" s="3"/>
    </row>
  </sheetData>
  <mergeCells count="44">
    <mergeCell ref="AQ66:AW70"/>
    <mergeCell ref="Z69:AC69"/>
    <mergeCell ref="AD69:AG69"/>
    <mergeCell ref="AH69:AK69"/>
    <mergeCell ref="AL69:AO69"/>
    <mergeCell ref="Y70:AO70"/>
    <mergeCell ref="AQ56:AW60"/>
    <mergeCell ref="Z59:AC59"/>
    <mergeCell ref="AD59:AG59"/>
    <mergeCell ref="AH59:AK59"/>
    <mergeCell ref="AL59:AO59"/>
    <mergeCell ref="Y60:AO60"/>
    <mergeCell ref="F42:U42"/>
    <mergeCell ref="AQ46:AW50"/>
    <mergeCell ref="Z49:AC49"/>
    <mergeCell ref="AD49:AG49"/>
    <mergeCell ref="AH49:AK49"/>
    <mergeCell ref="AL49:AO49"/>
    <mergeCell ref="Y50:AO50"/>
    <mergeCell ref="F34:T34"/>
    <mergeCell ref="AQ36:AW40"/>
    <mergeCell ref="Z39:AC39"/>
    <mergeCell ref="AD39:AG39"/>
    <mergeCell ref="AH39:AK39"/>
    <mergeCell ref="AL39:AO39"/>
    <mergeCell ref="Y40:AO40"/>
    <mergeCell ref="AQ26:AW30"/>
    <mergeCell ref="Z29:AC29"/>
    <mergeCell ref="AD29:AG29"/>
    <mergeCell ref="AH29:AK29"/>
    <mergeCell ref="AL29:AO29"/>
    <mergeCell ref="Y30:AO30"/>
    <mergeCell ref="AQ16:AW20"/>
    <mergeCell ref="Z19:AC19"/>
    <mergeCell ref="AD19:AG19"/>
    <mergeCell ref="AH19:AK19"/>
    <mergeCell ref="AL19:AO19"/>
    <mergeCell ref="Y20:AO20"/>
    <mergeCell ref="AQ6:AW10"/>
    <mergeCell ref="Z9:AC9"/>
    <mergeCell ref="AD9:AG9"/>
    <mergeCell ref="AH9:AK9"/>
    <mergeCell ref="AL9:AO9"/>
    <mergeCell ref="Y10:AO10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&amp;CВеселов Фёдор Евгеньевич, Вариант 7, ЛР5</oddHeader>
    <oddFooter>&amp;C10.12.2025 14:45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Fedor</dc:creator>
  <dc:description/>
  <cp:lastModifiedBy>Фёдор Веселов</cp:lastModifiedBy>
  <cp:revision>19</cp:revision>
  <dcterms:created xsi:type="dcterms:W3CDTF">2025-12-09T20:14:52Z</dcterms:created>
  <dcterms:modified xsi:type="dcterms:W3CDTF">2025-12-18T16:45:21Z</dcterms:modified>
  <dc:language>ru-RU</dc:language>
</cp:coreProperties>
</file>
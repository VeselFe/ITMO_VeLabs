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dca7ffefce86dfb/ИТМО/Лабы_по_Инфе/Лаба №5/"/>
    </mc:Choice>
  </mc:AlternateContent>
  <xr:revisionPtr revIDLastSave="15" documentId="8_{D104E374-63CC-46FC-9BC7-3C287AC27BDA}" xr6:coauthVersionLast="47" xr6:coauthVersionMax="47" xr10:uidLastSave="{9B840795-2DE1-4504-8BA1-6926DCDFE784}"/>
  <bookViews>
    <workbookView xWindow="2280" yWindow="2280" windowWidth="19200" windowHeight="11170" tabRatio="50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AP66" i="1" l="1"/>
  <c r="Y66" i="1"/>
  <c r="AP65" i="1"/>
  <c r="AO64" i="1" s="1"/>
  <c r="Y65" i="1"/>
  <c r="AP56" i="1"/>
  <c r="Y56" i="1"/>
  <c r="AP55" i="1"/>
  <c r="AO54" i="1" s="1"/>
  <c r="Y55" i="1"/>
  <c r="Y46" i="1"/>
  <c r="Y45" i="1"/>
  <c r="Y36" i="1"/>
  <c r="Y35" i="1"/>
  <c r="AP28" i="1"/>
  <c r="AP29" i="1" s="1"/>
  <c r="AO28" i="1"/>
  <c r="AO29" i="1" s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AS25" i="1" s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Y26" i="1"/>
  <c r="AV25" i="1"/>
  <c r="Y25" i="1"/>
  <c r="AO24" i="1"/>
  <c r="AN24" i="1" s="1"/>
  <c r="AM24" i="1" s="1"/>
  <c r="Y16" i="1"/>
  <c r="Y15" i="1"/>
  <c r="C9" i="1"/>
  <c r="C8" i="1"/>
  <c r="BA7" i="1"/>
  <c r="BA8" i="1" s="1"/>
  <c r="AZ7" i="1"/>
  <c r="AZ8" i="1" s="1"/>
  <c r="C7" i="1"/>
  <c r="N31" i="1" s="1"/>
  <c r="Y6" i="1"/>
  <c r="C6" i="1"/>
  <c r="R30" i="1" s="1"/>
  <c r="Y5" i="1"/>
  <c r="C5" i="1"/>
  <c r="R29" i="1" s="1"/>
  <c r="L32" i="1" l="1"/>
  <c r="L8" i="1" s="1"/>
  <c r="L33" i="1"/>
  <c r="AW25" i="1"/>
  <c r="AP58" i="1"/>
  <c r="AP59" i="1" s="1"/>
  <c r="C14" i="1"/>
  <c r="C10" i="1"/>
  <c r="L34" i="1" s="1"/>
  <c r="N7" i="1"/>
  <c r="AN29" i="1"/>
  <c r="AM29" i="1" s="1"/>
  <c r="AM30" i="1" s="1"/>
  <c r="AU25" i="1"/>
  <c r="AL24" i="1"/>
  <c r="AK24" i="1" s="1"/>
  <c r="AJ24" i="1" s="1"/>
  <c r="AI24" i="1" s="1"/>
  <c r="AH24" i="1" s="1"/>
  <c r="AG24" i="1" s="1"/>
  <c r="AF24" i="1" s="1"/>
  <c r="AE24" i="1" s="1"/>
  <c r="AD24" i="1" s="1"/>
  <c r="AC24" i="1" s="1"/>
  <c r="AB24" i="1" s="1"/>
  <c r="AA24" i="1" s="1"/>
  <c r="Z28" i="1" s="1"/>
  <c r="AR25" i="1" s="1"/>
  <c r="R6" i="1"/>
  <c r="S29" i="1"/>
  <c r="S30" i="1"/>
  <c r="S6" i="1" s="1"/>
  <c r="O31" i="1"/>
  <c r="M32" i="1"/>
  <c r="M8" i="1" s="1"/>
  <c r="M33" i="1"/>
  <c r="M9" i="1" s="1"/>
  <c r="T29" i="1"/>
  <c r="T30" i="1"/>
  <c r="P31" i="1"/>
  <c r="N32" i="1"/>
  <c r="N33" i="1"/>
  <c r="N9" i="1" s="1"/>
  <c r="N34" i="1"/>
  <c r="N10" i="1" s="1"/>
  <c r="U29" i="1"/>
  <c r="U30" i="1"/>
  <c r="Q31" i="1"/>
  <c r="Q7" i="1" s="1"/>
  <c r="O32" i="1"/>
  <c r="O33" i="1"/>
  <c r="O34" i="1"/>
  <c r="V29" i="1"/>
  <c r="V5" i="1" s="1"/>
  <c r="V30" i="1"/>
  <c r="V6" i="1" s="1"/>
  <c r="R31" i="1"/>
  <c r="P32" i="1"/>
  <c r="P33" i="1"/>
  <c r="L9" i="1"/>
  <c r="C11" i="1"/>
  <c r="Y31" i="1" s="1"/>
  <c r="G29" i="1"/>
  <c r="G30" i="1"/>
  <c r="G6" i="1" s="1"/>
  <c r="S31" i="1"/>
  <c r="S7" i="1" s="1"/>
  <c r="Q32" i="1"/>
  <c r="Q33" i="1"/>
  <c r="Q9" i="1" s="1"/>
  <c r="Q34" i="1"/>
  <c r="Q10" i="1" s="1"/>
  <c r="Q8" i="1"/>
  <c r="L10" i="1"/>
  <c r="Y11" i="1"/>
  <c r="H29" i="1"/>
  <c r="H5" i="1" s="1"/>
  <c r="H30" i="1"/>
  <c r="H6" i="1" s="1"/>
  <c r="T31" i="1"/>
  <c r="R32" i="1"/>
  <c r="R8" i="1" s="1"/>
  <c r="R33" i="1"/>
  <c r="R9" i="1" s="1"/>
  <c r="R34" i="1"/>
  <c r="I29" i="1"/>
  <c r="I30" i="1"/>
  <c r="U31" i="1"/>
  <c r="U7" i="1" s="1"/>
  <c r="S32" i="1"/>
  <c r="S8" i="1" s="1"/>
  <c r="S33" i="1"/>
  <c r="S9" i="1" s="1"/>
  <c r="S34" i="1"/>
  <c r="Q5" i="1"/>
  <c r="C12" i="1"/>
  <c r="J29" i="1"/>
  <c r="J30" i="1"/>
  <c r="V31" i="1"/>
  <c r="V7" i="1" s="1"/>
  <c r="T32" i="1"/>
  <c r="T33" i="1"/>
  <c r="C13" i="1"/>
  <c r="K29" i="1"/>
  <c r="K5" i="1" s="1"/>
  <c r="K30" i="1"/>
  <c r="G31" i="1"/>
  <c r="U32" i="1"/>
  <c r="U33" i="1"/>
  <c r="U9" i="1" s="1"/>
  <c r="U34" i="1"/>
  <c r="U10" i="1" s="1"/>
  <c r="C15" i="1"/>
  <c r="Y71" i="1" s="1"/>
  <c r="Y21" i="1"/>
  <c r="L29" i="1"/>
  <c r="L30" i="1"/>
  <c r="L6" i="1" s="1"/>
  <c r="H31" i="1"/>
  <c r="V32" i="1"/>
  <c r="V33" i="1"/>
  <c r="V9" i="1" s="1"/>
  <c r="AP68" i="1"/>
  <c r="AP69" i="1" s="1"/>
  <c r="R5" i="1"/>
  <c r="J7" i="1"/>
  <c r="V8" i="1"/>
  <c r="M29" i="1"/>
  <c r="M30" i="1"/>
  <c r="I31" i="1"/>
  <c r="G32" i="1"/>
  <c r="G33" i="1"/>
  <c r="G34" i="1"/>
  <c r="N29" i="1"/>
  <c r="N5" i="1" s="1"/>
  <c r="N30" i="1"/>
  <c r="J31" i="1"/>
  <c r="H32" i="1"/>
  <c r="H33" i="1"/>
  <c r="H9" i="1" s="1"/>
  <c r="O29" i="1"/>
  <c r="O30" i="1"/>
  <c r="K31" i="1"/>
  <c r="I32" i="1"/>
  <c r="I8" i="1" s="1"/>
  <c r="I33" i="1"/>
  <c r="I9" i="1" s="1"/>
  <c r="I34" i="1"/>
  <c r="I10" i="1" s="1"/>
  <c r="G5" i="1"/>
  <c r="P29" i="1"/>
  <c r="P5" i="1" s="1"/>
  <c r="P30" i="1"/>
  <c r="L31" i="1"/>
  <c r="J32" i="1"/>
  <c r="J33" i="1"/>
  <c r="Q29" i="1"/>
  <c r="Q30" i="1"/>
  <c r="M31" i="1"/>
  <c r="M7" i="1" s="1"/>
  <c r="K32" i="1"/>
  <c r="K33" i="1"/>
  <c r="K9" i="1" s="1"/>
  <c r="K34" i="1"/>
  <c r="K10" i="1" s="1"/>
  <c r="C16" i="1" l="1"/>
  <c r="P34" i="1"/>
  <c r="T34" i="1"/>
  <c r="V34" i="1"/>
  <c r="V10" i="1" s="1"/>
  <c r="H34" i="1"/>
  <c r="J34" i="1"/>
  <c r="J10" i="1" s="1"/>
  <c r="M34" i="1"/>
  <c r="M10" i="1" s="1"/>
  <c r="AF6" i="1"/>
  <c r="AF15" i="1"/>
  <c r="AK16" i="1"/>
  <c r="AJ65" i="1"/>
  <c r="AO65" i="1"/>
  <c r="V21" i="1"/>
  <c r="U13" i="1" s="1"/>
  <c r="AO46" i="1" s="1"/>
  <c r="V13" i="1"/>
  <c r="AP46" i="1" s="1"/>
  <c r="AP16" i="1"/>
  <c r="AD55" i="1"/>
  <c r="AE5" i="1"/>
  <c r="AG16" i="1"/>
  <c r="AF65" i="1"/>
  <c r="P7" i="1"/>
  <c r="K7" i="1"/>
  <c r="AN65" i="1"/>
  <c r="AO16" i="1"/>
  <c r="P8" i="1"/>
  <c r="AL29" i="1"/>
  <c r="AK29" i="1" s="1"/>
  <c r="AJ29" i="1" s="1"/>
  <c r="AI29" i="1" s="1"/>
  <c r="J6" i="1"/>
  <c r="T9" i="1"/>
  <c r="T8" i="1"/>
  <c r="AB15" i="1"/>
  <c r="AB6" i="1"/>
  <c r="U36" i="1"/>
  <c r="T36" i="1" s="1"/>
  <c r="V44" i="1"/>
  <c r="J9" i="1"/>
  <c r="AM15" i="1"/>
  <c r="AM6" i="1"/>
  <c r="AL15" i="1"/>
  <c r="AL6" i="1"/>
  <c r="Y61" i="1"/>
  <c r="Y51" i="1"/>
  <c r="N8" i="1"/>
  <c r="M6" i="1"/>
  <c r="AD16" i="1"/>
  <c r="AC65" i="1"/>
  <c r="N6" i="1"/>
  <c r="O5" i="1"/>
  <c r="R10" i="1"/>
  <c r="AK55" i="1"/>
  <c r="AL5" i="1"/>
  <c r="AJ55" i="1"/>
  <c r="AK5" i="1"/>
  <c r="R7" i="1"/>
  <c r="I5" i="1"/>
  <c r="L7" i="1"/>
  <c r="P6" i="1"/>
  <c r="U37" i="1"/>
  <c r="T37" i="1" s="1"/>
  <c r="V45" i="1"/>
  <c r="T5" i="1"/>
  <c r="S5" i="1"/>
  <c r="G7" i="1"/>
  <c r="K6" i="1"/>
  <c r="S10" i="1"/>
  <c r="O8" i="1"/>
  <c r="T6" i="1"/>
  <c r="U38" i="1"/>
  <c r="T38" i="1" s="1"/>
  <c r="S38" i="1" s="1"/>
  <c r="R38" i="1" s="1"/>
  <c r="V46" i="1"/>
  <c r="O6" i="1"/>
  <c r="AM16" i="1"/>
  <c r="AL65" i="1"/>
  <c r="L5" i="1"/>
  <c r="V23" i="1"/>
  <c r="U23" i="1" s="1"/>
  <c r="V15" i="1"/>
  <c r="AO66" i="1" s="1"/>
  <c r="J8" i="1"/>
  <c r="AP15" i="1"/>
  <c r="V12" i="1"/>
  <c r="AP6" i="1"/>
  <c r="V20" i="1"/>
  <c r="AG55" i="1"/>
  <c r="AH5" i="1"/>
  <c r="V24" i="1"/>
  <c r="U24" i="1" s="1"/>
  <c r="V16" i="1"/>
  <c r="K8" i="1"/>
  <c r="T7" i="1"/>
  <c r="AA5" i="1"/>
  <c r="U40" i="1"/>
  <c r="T40" i="1" s="1"/>
  <c r="V48" i="1"/>
  <c r="U6" i="1"/>
  <c r="H10" i="1"/>
  <c r="V22" i="1"/>
  <c r="V14" i="1"/>
  <c r="AI55" i="1"/>
  <c r="AJ5" i="1"/>
  <c r="AA15" i="1"/>
  <c r="AA6" i="1"/>
  <c r="T10" i="1"/>
  <c r="O9" i="1"/>
  <c r="Q6" i="1"/>
  <c r="U39" i="1"/>
  <c r="T39" i="1" s="1"/>
  <c r="S39" i="1" s="1"/>
  <c r="V47" i="1"/>
  <c r="M5" i="1"/>
  <c r="O7" i="1"/>
  <c r="AH16" i="1"/>
  <c r="AG65" i="1"/>
  <c r="I7" i="1"/>
  <c r="AB5" i="1"/>
  <c r="AA55" i="1"/>
  <c r="P10" i="1"/>
  <c r="H8" i="1"/>
  <c r="J5" i="1"/>
  <c r="AP5" i="1"/>
  <c r="V19" i="1"/>
  <c r="V11" i="1"/>
  <c r="AP35" i="1" s="1"/>
  <c r="AO55" i="1"/>
  <c r="U8" i="1"/>
  <c r="U47" i="1"/>
  <c r="U5" i="1"/>
  <c r="V49" i="1"/>
  <c r="U41" i="1"/>
  <c r="T41" i="1" s="1"/>
  <c r="G9" i="1"/>
  <c r="O10" i="1"/>
  <c r="G8" i="1"/>
  <c r="H7" i="1"/>
  <c r="P9" i="1"/>
  <c r="I6" i="1"/>
  <c r="Y41" i="1"/>
  <c r="G10" i="1"/>
  <c r="U46" i="1" l="1"/>
  <c r="U21" i="1"/>
  <c r="T48" i="1"/>
  <c r="S40" i="1"/>
  <c r="R40" i="1" s="1"/>
  <c r="T45" i="1"/>
  <c r="S37" i="1"/>
  <c r="S45" i="1" s="1"/>
  <c r="T46" i="1"/>
  <c r="U45" i="1"/>
  <c r="U48" i="1"/>
  <c r="U49" i="1"/>
  <c r="Q40" i="1"/>
  <c r="R48" i="1"/>
  <c r="S36" i="1"/>
  <c r="T44" i="1"/>
  <c r="S41" i="1"/>
  <c r="T49" i="1"/>
  <c r="S47" i="1"/>
  <c r="R39" i="1"/>
  <c r="Q38" i="1"/>
  <c r="R46" i="1"/>
  <c r="AI6" i="1"/>
  <c r="AI15" i="1"/>
  <c r="AO15" i="1"/>
  <c r="U12" i="1"/>
  <c r="AO6" i="1"/>
  <c r="U20" i="1"/>
  <c r="T12" i="1" s="1"/>
  <c r="AH6" i="1"/>
  <c r="AH15" i="1"/>
  <c r="AM64" i="1"/>
  <c r="AN68" i="1"/>
  <c r="AN69" i="1" s="1"/>
  <c r="U22" i="1"/>
  <c r="T22" i="1" s="1"/>
  <c r="U14" i="1"/>
  <c r="AG6" i="1"/>
  <c r="AG15" i="1"/>
  <c r="U44" i="1"/>
  <c r="AN64" i="1"/>
  <c r="AO68" i="1"/>
  <c r="AO69" i="1" s="1"/>
  <c r="AI30" i="1"/>
  <c r="AH29" i="1"/>
  <c r="AG29" i="1" s="1"/>
  <c r="AF29" i="1" s="1"/>
  <c r="AE29" i="1" s="1"/>
  <c r="AL55" i="1"/>
  <c r="AM5" i="1"/>
  <c r="AC16" i="1"/>
  <c r="AB65" i="1"/>
  <c r="AM65" i="1"/>
  <c r="T21" i="1"/>
  <c r="T13" i="1"/>
  <c r="AN46" i="1" s="1"/>
  <c r="AN16" i="1"/>
  <c r="AJ15" i="1"/>
  <c r="AJ6" i="1"/>
  <c r="AB55" i="1"/>
  <c r="AC5" i="1"/>
  <c r="U15" i="1"/>
  <c r="AN66" i="1" s="1"/>
  <c r="AN55" i="1"/>
  <c r="AO5" i="1"/>
  <c r="U19" i="1"/>
  <c r="U11" i="1"/>
  <c r="AO35" i="1" s="1"/>
  <c r="R37" i="1"/>
  <c r="AM55" i="1"/>
  <c r="AN5" i="1"/>
  <c r="T19" i="1"/>
  <c r="S19" i="1" s="1"/>
  <c r="T11" i="1"/>
  <c r="AN35" i="1" s="1"/>
  <c r="AE16" i="1"/>
  <c r="AD65" i="1"/>
  <c r="AN15" i="1"/>
  <c r="AN6" i="1"/>
  <c r="S46" i="1"/>
  <c r="T47" i="1"/>
  <c r="AF55" i="1"/>
  <c r="AG5" i="1"/>
  <c r="AC55" i="1"/>
  <c r="AD5" i="1"/>
  <c r="AL16" i="1"/>
  <c r="AK65" i="1"/>
  <c r="AF16" i="1"/>
  <c r="AE65" i="1"/>
  <c r="AP36" i="1"/>
  <c r="AP38" i="1" s="1"/>
  <c r="AP39" i="1" s="1"/>
  <c r="AO56" i="1"/>
  <c r="AN54" i="1" s="1"/>
  <c r="AP45" i="1"/>
  <c r="AO14" i="1"/>
  <c r="AP18" i="1"/>
  <c r="AP19" i="1" s="1"/>
  <c r="AP8" i="1"/>
  <c r="AP9" i="1" s="1"/>
  <c r="AO4" i="1"/>
  <c r="AK15" i="1"/>
  <c r="AK6" i="1"/>
  <c r="AE55" i="1"/>
  <c r="AF5" i="1"/>
  <c r="U16" i="1"/>
  <c r="AA16" i="1"/>
  <c r="T16" i="1"/>
  <c r="T24" i="1"/>
  <c r="S16" i="1" s="1"/>
  <c r="AE15" i="1"/>
  <c r="AE6" i="1"/>
  <c r="AC15" i="1"/>
  <c r="AC6" i="1"/>
  <c r="S48" i="1"/>
  <c r="AB16" i="1"/>
  <c r="AA65" i="1"/>
  <c r="AI16" i="1"/>
  <c r="AH65" i="1"/>
  <c r="AH55" i="1"/>
  <c r="AI5" i="1"/>
  <c r="T23" i="1"/>
  <c r="T15" i="1"/>
  <c r="AM66" i="1" s="1"/>
  <c r="AD15" i="1"/>
  <c r="AD6" i="1"/>
  <c r="AI65" i="1"/>
  <c r="AJ16" i="1"/>
  <c r="T14" i="1" l="1"/>
  <c r="AO8" i="1"/>
  <c r="AO9" i="1" s="1"/>
  <c r="AO18" i="1"/>
  <c r="S24" i="1"/>
  <c r="R24" i="1" s="1"/>
  <c r="T20" i="1"/>
  <c r="S12" i="1" s="1"/>
  <c r="Q24" i="1"/>
  <c r="Q16" i="1"/>
  <c r="R11" i="1"/>
  <c r="AL35" i="1" s="1"/>
  <c r="R19" i="1"/>
  <c r="S21" i="1"/>
  <c r="S13" i="1"/>
  <c r="AM46" i="1" s="1"/>
  <c r="S11" i="1"/>
  <c r="AM35" i="1" s="1"/>
  <c r="AO34" i="1"/>
  <c r="AU65" i="1"/>
  <c r="AO19" i="1"/>
  <c r="P38" i="1"/>
  <c r="Q46" i="1"/>
  <c r="AO58" i="1"/>
  <c r="AO59" i="1" s="1"/>
  <c r="R47" i="1"/>
  <c r="Q39" i="1"/>
  <c r="R45" i="1"/>
  <c r="Q37" i="1"/>
  <c r="AP48" i="1"/>
  <c r="AP49" i="1" s="1"/>
  <c r="AO44" i="1"/>
  <c r="AL64" i="1"/>
  <c r="AM68" i="1"/>
  <c r="AE30" i="1"/>
  <c r="AD29" i="1"/>
  <c r="AC29" i="1" s="1"/>
  <c r="AB29" i="1" s="1"/>
  <c r="AA29" i="1" s="1"/>
  <c r="AA30" i="1" s="1"/>
  <c r="R41" i="1"/>
  <c r="S49" i="1"/>
  <c r="AN36" i="1"/>
  <c r="AN38" i="1" s="1"/>
  <c r="AM56" i="1"/>
  <c r="AM58" i="1" s="1"/>
  <c r="AN45" i="1"/>
  <c r="AN4" i="1"/>
  <c r="AN8" i="1" s="1"/>
  <c r="AN9" i="1" s="1"/>
  <c r="R36" i="1"/>
  <c r="S44" i="1"/>
  <c r="AO36" i="1"/>
  <c r="AN56" i="1"/>
  <c r="AO45" i="1"/>
  <c r="S22" i="1"/>
  <c r="S14" i="1"/>
  <c r="AM54" i="1"/>
  <c r="AN58" i="1"/>
  <c r="S15" i="1"/>
  <c r="AL66" i="1" s="1"/>
  <c r="S23" i="1"/>
  <c r="AN14" i="1"/>
  <c r="AN18" i="1" s="1"/>
  <c r="P40" i="1"/>
  <c r="Q48" i="1"/>
  <c r="S20" i="1" l="1"/>
  <c r="AM14" i="1"/>
  <c r="R16" i="1"/>
  <c r="Z31" i="1"/>
  <c r="AT25" i="1" s="1"/>
  <c r="AU55" i="1"/>
  <c r="AN59" i="1"/>
  <c r="AN34" i="1"/>
  <c r="AM34" i="1" s="1"/>
  <c r="AM59" i="1"/>
  <c r="AW55" i="1"/>
  <c r="R13" i="1"/>
  <c r="AL46" i="1" s="1"/>
  <c r="R21" i="1"/>
  <c r="R22" i="1"/>
  <c r="R14" i="1"/>
  <c r="AU15" i="1"/>
  <c r="AM18" i="1"/>
  <c r="AL14" i="1"/>
  <c r="P37" i="1"/>
  <c r="Q45" i="1"/>
  <c r="AM69" i="1"/>
  <c r="AW65" i="1"/>
  <c r="Q11" i="1"/>
  <c r="AK35" i="1" s="1"/>
  <c r="Q19" i="1"/>
  <c r="AN48" i="1"/>
  <c r="Q41" i="1"/>
  <c r="R49" i="1"/>
  <c r="AM45" i="1"/>
  <c r="AM36" i="1"/>
  <c r="AM38" i="1" s="1"/>
  <c r="AL56" i="1"/>
  <c r="AR27" i="1"/>
  <c r="AL54" i="1"/>
  <c r="R20" i="1"/>
  <c r="R12" i="1"/>
  <c r="AO38" i="1"/>
  <c r="AO39" i="1" s="1"/>
  <c r="R44" i="1"/>
  <c r="Q36" i="1"/>
  <c r="AO48" i="1"/>
  <c r="AO49" i="1" s="1"/>
  <c r="AN44" i="1"/>
  <c r="AM44" i="1" s="1"/>
  <c r="P39" i="1"/>
  <c r="Q47" i="1"/>
  <c r="AM4" i="1"/>
  <c r="O40" i="1"/>
  <c r="P48" i="1"/>
  <c r="AN19" i="1"/>
  <c r="P16" i="1"/>
  <c r="P24" i="1"/>
  <c r="R15" i="1"/>
  <c r="AK66" i="1" s="1"/>
  <c r="R23" i="1"/>
  <c r="AK64" i="1"/>
  <c r="AL68" i="1"/>
  <c r="O38" i="1"/>
  <c r="P46" i="1"/>
  <c r="AU35" i="1" l="1"/>
  <c r="AU45" i="1"/>
  <c r="AW35" i="1"/>
  <c r="O16" i="1"/>
  <c r="O24" i="1"/>
  <c r="AJ64" i="1"/>
  <c r="AK68" i="1"/>
  <c r="Q20" i="1"/>
  <c r="Q12" i="1"/>
  <c r="AM8" i="1"/>
  <c r="AU5" i="1"/>
  <c r="AL4" i="1"/>
  <c r="P19" i="1"/>
  <c r="P11" i="1"/>
  <c r="AJ35" i="1" s="1"/>
  <c r="AL45" i="1"/>
  <c r="AL36" i="1"/>
  <c r="AK56" i="1"/>
  <c r="AL18" i="1"/>
  <c r="AK14" i="1"/>
  <c r="Q15" i="1"/>
  <c r="AJ66" i="1" s="1"/>
  <c r="Q23" i="1"/>
  <c r="O37" i="1"/>
  <c r="P45" i="1"/>
  <c r="AL44" i="1"/>
  <c r="AM48" i="1"/>
  <c r="Q22" i="1"/>
  <c r="Q14" i="1"/>
  <c r="O48" i="1"/>
  <c r="N40" i="1"/>
  <c r="AL58" i="1"/>
  <c r="AL59" i="1" s="1"/>
  <c r="AK54" i="1"/>
  <c r="AM19" i="1"/>
  <c r="AW15" i="1"/>
  <c r="O39" i="1"/>
  <c r="P47" i="1"/>
  <c r="Q21" i="1"/>
  <c r="Q13" i="1"/>
  <c r="AK46" i="1" s="1"/>
  <c r="AL34" i="1"/>
  <c r="N38" i="1"/>
  <c r="O46" i="1"/>
  <c r="P41" i="1"/>
  <c r="Q49" i="1"/>
  <c r="AN39" i="1"/>
  <c r="AM39" i="1" s="1"/>
  <c r="AL69" i="1"/>
  <c r="P36" i="1"/>
  <c r="Q44" i="1"/>
  <c r="AN49" i="1"/>
  <c r="P44" i="1" l="1"/>
  <c r="O36" i="1"/>
  <c r="AL38" i="1"/>
  <c r="AL39" i="1" s="1"/>
  <c r="AK34" i="1"/>
  <c r="AK44" i="1"/>
  <c r="AL48" i="1"/>
  <c r="P22" i="1"/>
  <c r="P14" i="1"/>
  <c r="AM9" i="1"/>
  <c r="AW5" i="1"/>
  <c r="P13" i="1"/>
  <c r="AJ46" i="1" s="1"/>
  <c r="P21" i="1"/>
  <c r="AJ54" i="1"/>
  <c r="AK58" i="1"/>
  <c r="AK59" i="1" s="1"/>
  <c r="M38" i="1"/>
  <c r="N46" i="1"/>
  <c r="O45" i="1"/>
  <c r="N37" i="1"/>
  <c r="N39" i="1"/>
  <c r="O47" i="1"/>
  <c r="AL8" i="1"/>
  <c r="AK4" i="1"/>
  <c r="AM49" i="1"/>
  <c r="AW45" i="1"/>
  <c r="N16" i="1"/>
  <c r="N24" i="1"/>
  <c r="N48" i="1"/>
  <c r="M40" i="1"/>
  <c r="O11" i="1"/>
  <c r="AI35" i="1" s="1"/>
  <c r="O19" i="1"/>
  <c r="O41" i="1"/>
  <c r="P49" i="1"/>
  <c r="AK45" i="1"/>
  <c r="AK36" i="1"/>
  <c r="AJ56" i="1"/>
  <c r="P12" i="1"/>
  <c r="P20" i="1"/>
  <c r="AK69" i="1"/>
  <c r="P15" i="1"/>
  <c r="AI66" i="1" s="1"/>
  <c r="P23" i="1"/>
  <c r="AI64" i="1"/>
  <c r="AJ68" i="1"/>
  <c r="AJ69" i="1" s="1"/>
  <c r="AK18" i="1"/>
  <c r="AJ14" i="1"/>
  <c r="AL19" i="1"/>
  <c r="N11" i="1" l="1"/>
  <c r="AH35" i="1" s="1"/>
  <c r="N19" i="1"/>
  <c r="O15" i="1"/>
  <c r="AH66" i="1" s="1"/>
  <c r="O23" i="1"/>
  <c r="AJ18" i="1"/>
  <c r="AI14" i="1"/>
  <c r="M16" i="1"/>
  <c r="M24" i="1"/>
  <c r="O12" i="1"/>
  <c r="O20" i="1"/>
  <c r="AK19" i="1"/>
  <c r="O22" i="1"/>
  <c r="O14" i="1"/>
  <c r="M39" i="1"/>
  <c r="N47" i="1"/>
  <c r="O13" i="1"/>
  <c r="AI46" i="1" s="1"/>
  <c r="O21" i="1"/>
  <c r="AJ45" i="1"/>
  <c r="AJ36" i="1"/>
  <c r="AI56" i="1"/>
  <c r="L40" i="1"/>
  <c r="M48" i="1"/>
  <c r="AH64" i="1"/>
  <c r="AI68" i="1"/>
  <c r="AI69" i="1" s="1"/>
  <c r="AK8" i="1"/>
  <c r="AJ4" i="1"/>
  <c r="AL9" i="1"/>
  <c r="AL49" i="1"/>
  <c r="AI54" i="1"/>
  <c r="AJ58" i="1"/>
  <c r="AJ59" i="1" s="1"/>
  <c r="AK38" i="1"/>
  <c r="AK39" i="1" s="1"/>
  <c r="AJ34" i="1"/>
  <c r="N45" i="1"/>
  <c r="M37" i="1"/>
  <c r="AJ44" i="1"/>
  <c r="AK48" i="1"/>
  <c r="O44" i="1"/>
  <c r="N36" i="1"/>
  <c r="N41" i="1"/>
  <c r="O49" i="1"/>
  <c r="M46" i="1"/>
  <c r="L38" i="1"/>
  <c r="L39" i="1" l="1"/>
  <c r="M47" i="1"/>
  <c r="L46" i="1"/>
  <c r="K38" i="1"/>
  <c r="L24" i="1"/>
  <c r="L16" i="1"/>
  <c r="AJ8" i="1"/>
  <c r="AI4" i="1"/>
  <c r="AI45" i="1"/>
  <c r="AI36" i="1"/>
  <c r="AH56" i="1"/>
  <c r="AK49" i="1"/>
  <c r="N22" i="1"/>
  <c r="N14" i="1"/>
  <c r="N20" i="1"/>
  <c r="N12" i="1"/>
  <c r="M41" i="1"/>
  <c r="N49" i="1"/>
  <c r="K40" i="1"/>
  <c r="L48" i="1"/>
  <c r="AI18" i="1"/>
  <c r="AH14" i="1"/>
  <c r="AJ19" i="1"/>
  <c r="L37" i="1"/>
  <c r="M45" i="1"/>
  <c r="AH54" i="1"/>
  <c r="AI58" i="1"/>
  <c r="AI59" i="1" s="1"/>
  <c r="N15" i="1"/>
  <c r="AG66" i="1" s="1"/>
  <c r="N23" i="1"/>
  <c r="AJ38" i="1"/>
  <c r="AJ39" i="1" s="1"/>
  <c r="AI34" i="1"/>
  <c r="AG64" i="1"/>
  <c r="AH68" i="1"/>
  <c r="AH69" i="1" s="1"/>
  <c r="AI44" i="1"/>
  <c r="AJ48" i="1"/>
  <c r="M19" i="1"/>
  <c r="M11" i="1"/>
  <c r="AG35" i="1" s="1"/>
  <c r="AK9" i="1"/>
  <c r="N44" i="1"/>
  <c r="M36" i="1"/>
  <c r="N21" i="1"/>
  <c r="N13" i="1"/>
  <c r="AH46" i="1" s="1"/>
  <c r="AJ9" i="1" l="1"/>
  <c r="M44" i="1"/>
  <c r="L36" i="1"/>
  <c r="AF64" i="1"/>
  <c r="AG68" i="1"/>
  <c r="AG69" i="1" s="1"/>
  <c r="AG54" i="1"/>
  <c r="AH58" i="1"/>
  <c r="AH59" i="1" s="1"/>
  <c r="AH44" i="1"/>
  <c r="AI48" i="1"/>
  <c r="M14" i="1"/>
  <c r="M22" i="1"/>
  <c r="M21" i="1"/>
  <c r="M13" i="1"/>
  <c r="AG46" i="1" s="1"/>
  <c r="K48" i="1"/>
  <c r="J40" i="1"/>
  <c r="M12" i="1"/>
  <c r="M20" i="1"/>
  <c r="M15" i="1"/>
  <c r="AF66" i="1" s="1"/>
  <c r="M23" i="1"/>
  <c r="AI8" i="1"/>
  <c r="AI9" i="1" s="1"/>
  <c r="AH4" i="1"/>
  <c r="AH18" i="1"/>
  <c r="AG14" i="1"/>
  <c r="AI19" i="1"/>
  <c r="K16" i="1"/>
  <c r="K24" i="1"/>
  <c r="L19" i="1"/>
  <c r="L11" i="1"/>
  <c r="AF35" i="1" s="1"/>
  <c r="K46" i="1"/>
  <c r="J38" i="1"/>
  <c r="AJ49" i="1"/>
  <c r="AG56" i="1"/>
  <c r="AH45" i="1"/>
  <c r="AH36" i="1"/>
  <c r="AI38" i="1"/>
  <c r="AI39" i="1" s="1"/>
  <c r="AH34" i="1"/>
  <c r="L45" i="1"/>
  <c r="K37" i="1"/>
  <c r="L41" i="1"/>
  <c r="M49" i="1"/>
  <c r="L47" i="1"/>
  <c r="K39" i="1"/>
  <c r="J48" i="1" l="1"/>
  <c r="I40" i="1"/>
  <c r="K41" i="1"/>
  <c r="L49" i="1"/>
  <c r="L13" i="1"/>
  <c r="AF46" i="1" s="1"/>
  <c r="L21" i="1"/>
  <c r="L14" i="1"/>
  <c r="L22" i="1"/>
  <c r="AG18" i="1"/>
  <c r="AF14" i="1"/>
  <c r="K45" i="1"/>
  <c r="J37" i="1"/>
  <c r="AF68" i="1"/>
  <c r="AF69" i="1" s="1"/>
  <c r="AE64" i="1"/>
  <c r="J39" i="1"/>
  <c r="K47" i="1"/>
  <c r="AI49" i="1"/>
  <c r="AG34" i="1"/>
  <c r="AH38" i="1"/>
  <c r="AH39" i="1" s="1"/>
  <c r="AG44" i="1"/>
  <c r="AH48" i="1"/>
  <c r="AH49" i="1" s="1"/>
  <c r="L44" i="1"/>
  <c r="K36" i="1"/>
  <c r="J46" i="1"/>
  <c r="I38" i="1"/>
  <c r="K19" i="1"/>
  <c r="K11" i="1"/>
  <c r="AE35" i="1" s="1"/>
  <c r="J16" i="1"/>
  <c r="J24" i="1"/>
  <c r="AH19" i="1"/>
  <c r="AH8" i="1"/>
  <c r="AH9" i="1" s="1"/>
  <c r="AG4" i="1"/>
  <c r="L15" i="1"/>
  <c r="AE66" i="1" s="1"/>
  <c r="L23" i="1"/>
  <c r="L12" i="1"/>
  <c r="L20" i="1"/>
  <c r="AF54" i="1"/>
  <c r="AG58" i="1"/>
  <c r="AG59" i="1" s="1"/>
  <c r="AF56" i="1"/>
  <c r="AG45" i="1"/>
  <c r="AG36" i="1"/>
  <c r="AF18" i="1" l="1"/>
  <c r="AE14" i="1"/>
  <c r="J45" i="1"/>
  <c r="I37" i="1"/>
  <c r="K14" i="1"/>
  <c r="K22" i="1"/>
  <c r="I16" i="1"/>
  <c r="I24" i="1"/>
  <c r="AG19" i="1"/>
  <c r="K44" i="1"/>
  <c r="J36" i="1"/>
  <c r="K12" i="1"/>
  <c r="K20" i="1"/>
  <c r="K23" i="1"/>
  <c r="K15" i="1"/>
  <c r="AD66" i="1" s="1"/>
  <c r="AD64" i="1"/>
  <c r="AE68" i="1"/>
  <c r="AE69" i="1" s="1"/>
  <c r="J19" i="1"/>
  <c r="J11" i="1"/>
  <c r="AD35" i="1" s="1"/>
  <c r="AG38" i="1"/>
  <c r="AG39" i="1" s="1"/>
  <c r="AF34" i="1"/>
  <c r="AF58" i="1"/>
  <c r="AF59" i="1" s="1"/>
  <c r="AE54" i="1"/>
  <c r="K21" i="1"/>
  <c r="K13" i="1"/>
  <c r="AE46" i="1" s="1"/>
  <c r="AE56" i="1"/>
  <c r="AF45" i="1"/>
  <c r="AF36" i="1"/>
  <c r="J41" i="1"/>
  <c r="K49" i="1"/>
  <c r="AG8" i="1"/>
  <c r="AG9" i="1" s="1"/>
  <c r="AF4" i="1"/>
  <c r="H40" i="1"/>
  <c r="I48" i="1"/>
  <c r="I46" i="1"/>
  <c r="H38" i="1"/>
  <c r="AF44" i="1"/>
  <c r="AG48" i="1"/>
  <c r="AG49" i="1" s="1"/>
  <c r="J47" i="1"/>
  <c r="I39" i="1"/>
  <c r="I47" i="1" l="1"/>
  <c r="H39" i="1"/>
  <c r="J12" i="1"/>
  <c r="J20" i="1"/>
  <c r="AE58" i="1"/>
  <c r="AE59" i="1" s="1"/>
  <c r="AD54" i="1"/>
  <c r="J49" i="1"/>
  <c r="I41" i="1"/>
  <c r="AE44" i="1"/>
  <c r="AF48" i="1"/>
  <c r="AF49" i="1" s="1"/>
  <c r="I36" i="1"/>
  <c r="J44" i="1"/>
  <c r="G38" i="1"/>
  <c r="G46" i="1" s="1"/>
  <c r="H46" i="1"/>
  <c r="AD68" i="1"/>
  <c r="AD69" i="1" s="1"/>
  <c r="AC64" i="1"/>
  <c r="AE34" i="1"/>
  <c r="AF38" i="1"/>
  <c r="AF39" i="1" s="1"/>
  <c r="AD56" i="1"/>
  <c r="AE45" i="1"/>
  <c r="AE36" i="1"/>
  <c r="J21" i="1"/>
  <c r="J13" i="1"/>
  <c r="AD46" i="1" s="1"/>
  <c r="J22" i="1"/>
  <c r="J14" i="1"/>
  <c r="I11" i="1"/>
  <c r="AC35" i="1" s="1"/>
  <c r="I19" i="1"/>
  <c r="I45" i="1"/>
  <c r="H37" i="1"/>
  <c r="H48" i="1"/>
  <c r="G40" i="1"/>
  <c r="G48" i="1" s="1"/>
  <c r="AF8" i="1"/>
  <c r="AF9" i="1" s="1"/>
  <c r="AE4" i="1"/>
  <c r="AE18" i="1"/>
  <c r="AD14" i="1"/>
  <c r="J23" i="1"/>
  <c r="J15" i="1"/>
  <c r="AC66" i="1" s="1"/>
  <c r="H16" i="1"/>
  <c r="H24" i="1"/>
  <c r="AF19" i="1"/>
  <c r="I44" i="1" l="1"/>
  <c r="H36" i="1"/>
  <c r="H45" i="1"/>
  <c r="G37" i="1"/>
  <c r="G45" i="1" s="1"/>
  <c r="I14" i="1"/>
  <c r="I22" i="1"/>
  <c r="I20" i="1"/>
  <c r="I12" i="1"/>
  <c r="AD34" i="1"/>
  <c r="AE38" i="1"/>
  <c r="AE39" i="1" s="1"/>
  <c r="AC68" i="1"/>
  <c r="AC69" i="1" s="1"/>
  <c r="AB64" i="1"/>
  <c r="I13" i="1"/>
  <c r="AC46" i="1" s="1"/>
  <c r="I21" i="1"/>
  <c r="H47" i="1"/>
  <c r="G39" i="1"/>
  <c r="G47" i="1" s="1"/>
  <c r="H19" i="1"/>
  <c r="H11" i="1"/>
  <c r="AB35" i="1" s="1"/>
  <c r="G24" i="1"/>
  <c r="G16" i="1"/>
  <c r="I49" i="1"/>
  <c r="H41" i="1"/>
  <c r="I23" i="1"/>
  <c r="I15" i="1"/>
  <c r="AB66" i="1" s="1"/>
  <c r="AD18" i="1"/>
  <c r="AC14" i="1"/>
  <c r="AE19" i="1"/>
  <c r="AD44" i="1"/>
  <c r="AE48" i="1"/>
  <c r="AE49" i="1" s="1"/>
  <c r="AE8" i="1"/>
  <c r="AE9" i="1" s="1"/>
  <c r="AD4" i="1"/>
  <c r="AC54" i="1"/>
  <c r="AD58" i="1"/>
  <c r="AD59" i="1" s="1"/>
  <c r="AC56" i="1"/>
  <c r="AD45" i="1"/>
  <c r="AD36" i="1"/>
  <c r="AD19" i="1" l="1"/>
  <c r="H23" i="1"/>
  <c r="H15" i="1"/>
  <c r="AA66" i="1" s="1"/>
  <c r="AB56" i="1"/>
  <c r="AC45" i="1"/>
  <c r="AC36" i="1"/>
  <c r="H20" i="1"/>
  <c r="H12" i="1"/>
  <c r="AC34" i="1"/>
  <c r="AD38" i="1"/>
  <c r="AD39" i="1" s="1"/>
  <c r="H13" i="1"/>
  <c r="AB46" i="1" s="1"/>
  <c r="H21" i="1"/>
  <c r="H14" i="1"/>
  <c r="H22" i="1"/>
  <c r="AD48" i="1"/>
  <c r="AD49" i="1" s="1"/>
  <c r="AC44" i="1"/>
  <c r="AC58" i="1"/>
  <c r="AC59" i="1" s="1"/>
  <c r="AB54" i="1"/>
  <c r="H44" i="1"/>
  <c r="G36" i="1"/>
  <c r="G44" i="1" s="1"/>
  <c r="AC18" i="1"/>
  <c r="AC19" i="1" s="1"/>
  <c r="AB14" i="1"/>
  <c r="AB68" i="1"/>
  <c r="AB69" i="1" s="1"/>
  <c r="AA64" i="1"/>
  <c r="Z68" i="1" s="1"/>
  <c r="AR65" i="1" s="1"/>
  <c r="G41" i="1"/>
  <c r="G49" i="1" s="1"/>
  <c r="H49" i="1"/>
  <c r="AD8" i="1"/>
  <c r="AD9" i="1" s="1"/>
  <c r="AC4" i="1"/>
  <c r="G11" i="1"/>
  <c r="AA35" i="1" s="1"/>
  <c r="G19" i="1"/>
  <c r="G22" i="1" l="1"/>
  <c r="G14" i="1"/>
  <c r="AB34" i="1"/>
  <c r="AC38" i="1"/>
  <c r="AC39" i="1" s="1"/>
  <c r="AC48" i="1"/>
  <c r="AC49" i="1" s="1"/>
  <c r="AB44" i="1"/>
  <c r="AB58" i="1"/>
  <c r="AB59" i="1" s="1"/>
  <c r="AA54" i="1"/>
  <c r="G15" i="1"/>
  <c r="G23" i="1"/>
  <c r="AC8" i="1"/>
  <c r="AC9" i="1" s="1"/>
  <c r="AB4" i="1"/>
  <c r="G21" i="1"/>
  <c r="G13" i="1"/>
  <c r="AA46" i="1" s="1"/>
  <c r="AB18" i="1"/>
  <c r="AB19" i="1" s="1"/>
  <c r="AA14" i="1"/>
  <c r="AA56" i="1"/>
  <c r="AB45" i="1"/>
  <c r="AB36" i="1"/>
  <c r="G12" i="1"/>
  <c r="G20" i="1"/>
  <c r="AA68" i="1"/>
  <c r="AS65" i="1" s="1"/>
  <c r="Z58" i="1" l="1"/>
  <c r="AR55" i="1" s="1"/>
  <c r="AB8" i="1"/>
  <c r="AB9" i="1" s="1"/>
  <c r="AA4" i="1"/>
  <c r="AM70" i="1"/>
  <c r="AI70" i="1"/>
  <c r="AE70" i="1"/>
  <c r="AA69" i="1"/>
  <c r="AA70" i="1" s="1"/>
  <c r="Z71" i="1" s="1"/>
  <c r="AV65" i="1"/>
  <c r="AA45" i="1"/>
  <c r="AA36" i="1"/>
  <c r="AA34" i="1"/>
  <c r="Z38" i="1" s="1"/>
  <c r="AR35" i="1" s="1"/>
  <c r="AB38" i="1"/>
  <c r="AB39" i="1" s="1"/>
  <c r="AB48" i="1"/>
  <c r="AB49" i="1" s="1"/>
  <c r="AA44" i="1"/>
  <c r="Z48" i="1" s="1"/>
  <c r="AR45" i="1" s="1"/>
  <c r="AA58" i="1"/>
  <c r="AA18" i="1"/>
  <c r="Z18" i="1"/>
  <c r="AR15" i="1" s="1"/>
  <c r="AT65" i="1" l="1"/>
  <c r="AR67" i="1"/>
  <c r="AA38" i="1"/>
  <c r="AA48" i="1"/>
  <c r="AS45" i="1"/>
  <c r="AM60" i="1"/>
  <c r="AI60" i="1"/>
  <c r="AE60" i="1"/>
  <c r="AA60" i="1"/>
  <c r="AA59" i="1"/>
  <c r="AV55" i="1"/>
  <c r="AV15" i="1"/>
  <c r="AM20" i="1"/>
  <c r="AI20" i="1"/>
  <c r="AE20" i="1"/>
  <c r="AA19" i="1"/>
  <c r="AA20" i="1" s="1"/>
  <c r="AS15" i="1"/>
  <c r="AS55" i="1"/>
  <c r="AA8" i="1"/>
  <c r="Z8" i="1"/>
  <c r="AR5" i="1" s="1"/>
  <c r="Z61" i="1" l="1"/>
  <c r="AT55" i="1" s="1"/>
  <c r="Z21" i="1"/>
  <c r="AT15" i="1" s="1"/>
  <c r="AR57" i="1"/>
  <c r="AM50" i="1"/>
  <c r="AI50" i="1"/>
  <c r="AE50" i="1"/>
  <c r="AA50" i="1"/>
  <c r="AA49" i="1"/>
  <c r="AV45" i="1"/>
  <c r="AA9" i="1"/>
  <c r="AM10" i="1"/>
  <c r="AI10" i="1"/>
  <c r="AV5" i="1"/>
  <c r="AE10" i="1"/>
  <c r="AA10" i="1"/>
  <c r="AS5" i="1"/>
  <c r="AE40" i="1"/>
  <c r="AA39" i="1"/>
  <c r="AA40" i="1"/>
  <c r="AV35" i="1"/>
  <c r="AM40" i="1"/>
  <c r="AI40" i="1"/>
  <c r="AS35" i="1"/>
  <c r="AR17" i="1" l="1"/>
  <c r="Z51" i="1"/>
  <c r="Z11" i="1"/>
  <c r="Z41" i="1"/>
  <c r="AT35" i="1" s="1"/>
  <c r="AT5" i="1"/>
  <c r="AR7" i="1"/>
  <c r="AR37" i="1"/>
  <c r="AT45" i="1"/>
  <c r="AR47" i="1"/>
</calcChain>
</file>

<file path=xl/sharedStrings.xml><?xml version="1.0" encoding="utf-8"?>
<sst xmlns="http://schemas.openxmlformats.org/spreadsheetml/2006/main" count="256" uniqueCount="94">
  <si>
    <t xml:space="preserve">A = </t>
  </si>
  <si>
    <t xml:space="preserve">C = </t>
  </si>
  <si>
    <t>МИН</t>
  </si>
  <si>
    <t>МАКС</t>
  </si>
  <si>
    <t>CF</t>
  </si>
  <si>
    <t>OF</t>
  </si>
  <si>
    <t>ZF</t>
  </si>
  <si>
    <t>AF</t>
  </si>
  <si>
    <t>SF</t>
  </si>
  <si>
    <t>PF</t>
  </si>
  <si>
    <t>ОДЗ для 16-разрядного знакого формата</t>
  </si>
  <si>
    <t>X1=</t>
  </si>
  <si>
    <t xml:space="preserve">B1 = </t>
  </si>
  <si>
    <t>X2=</t>
  </si>
  <si>
    <t xml:space="preserve">B2 = </t>
  </si>
  <si>
    <t>Если рассматривать ОДЗ для определения Xов</t>
  </si>
  <si>
    <t>X3=</t>
  </si>
  <si>
    <t xml:space="preserve">A + C = </t>
  </si>
  <si>
    <t xml:space="preserve">B3 = </t>
  </si>
  <si>
    <t>+</t>
  </si>
  <si>
    <t>C</t>
  </si>
  <si>
    <t>---</t>
  </si>
  <si>
    <t>A</t>
  </si>
  <si>
    <t>X4=</t>
  </si>
  <si>
    <t xml:space="preserve">A + C + C = </t>
  </si>
  <si>
    <t xml:space="preserve">B4 = </t>
  </si>
  <si>
    <t xml:space="preserve">B1 + B2 = </t>
  </si>
  <si>
    <t>X5=</t>
  </si>
  <si>
    <t xml:space="preserve">C — A = </t>
  </si>
  <si>
    <t>B5 =</t>
  </si>
  <si>
    <t>X6=</t>
  </si>
  <si>
    <t xml:space="preserve">65536 — X4 = </t>
  </si>
  <si>
    <t>B6 =</t>
  </si>
  <si>
    <t>X1 + X2</t>
  </si>
  <si>
    <t>X7=</t>
  </si>
  <si>
    <t xml:space="preserve">-X1 = </t>
  </si>
  <si>
    <t xml:space="preserve">B7 = </t>
  </si>
  <si>
    <t>X8=</t>
  </si>
  <si>
    <t xml:space="preserve">-X2 = </t>
  </si>
  <si>
    <t xml:space="preserve">B8 = </t>
  </si>
  <si>
    <t>X9=</t>
  </si>
  <si>
    <t xml:space="preserve">-X3 = </t>
  </si>
  <si>
    <t xml:space="preserve">B9 = </t>
  </si>
  <si>
    <t>X10=</t>
  </si>
  <si>
    <t xml:space="preserve">-X4 = </t>
  </si>
  <si>
    <t xml:space="preserve">B10 = </t>
  </si>
  <si>
    <t>X11=</t>
  </si>
  <si>
    <t xml:space="preserve">-X5 = </t>
  </si>
  <si>
    <t xml:space="preserve">B11 = </t>
  </si>
  <si>
    <t>X12=</t>
  </si>
  <si>
    <t xml:space="preserve">-X6 = </t>
  </si>
  <si>
    <t xml:space="preserve">B12 = </t>
  </si>
  <si>
    <t xml:space="preserve">B2 + B3 = </t>
  </si>
  <si>
    <t>X2 + X3</t>
  </si>
  <si>
    <t xml:space="preserve">B2 + B7 = </t>
  </si>
  <si>
    <t>X2 + X7</t>
  </si>
  <si>
    <t>переносы между битами для допкода</t>
  </si>
  <si>
    <t xml:space="preserve">B7 + B8 = </t>
  </si>
  <si>
    <t>X7 + X8</t>
  </si>
  <si>
    <t>Отрицательные числа</t>
  </si>
  <si>
    <t xml:space="preserve">B8 + B9 = </t>
  </si>
  <si>
    <t>X8 + X9</t>
  </si>
  <si>
    <t xml:space="preserve">B1 + B8 = </t>
  </si>
  <si>
    <t>X1 + X8</t>
  </si>
  <si>
    <t xml:space="preserve">B3 + B11 = </t>
  </si>
  <si>
    <t>X3 + X11</t>
  </si>
  <si>
    <t>СТ1</t>
  </si>
  <si>
    <t>СТ2</t>
  </si>
  <si>
    <t>СТ3</t>
  </si>
  <si>
    <t>СТ4</t>
  </si>
  <si>
    <t>СТ5</t>
  </si>
  <si>
    <t>СТ6</t>
  </si>
  <si>
    <t>СТ7</t>
  </si>
  <si>
    <t>СТ8</t>
  </si>
  <si>
    <t>СТ9</t>
  </si>
  <si>
    <t>СТ10</t>
  </si>
  <si>
    <t>СТ11</t>
  </si>
  <si>
    <t>СТ12</t>
  </si>
  <si>
    <t>СТ13</t>
  </si>
  <si>
    <t>СТ14</t>
  </si>
  <si>
    <t>СТ15</t>
  </si>
  <si>
    <t>СТ16</t>
  </si>
  <si>
    <t>СТ17</t>
  </si>
  <si>
    <t>СТ18</t>
  </si>
  <si>
    <t>СТ19</t>
  </si>
  <si>
    <t>СТ20</t>
  </si>
  <si>
    <t>СТ21</t>
  </si>
  <si>
    <t xml:space="preserve">-B1 = </t>
  </si>
  <si>
    <t xml:space="preserve">-B2 = </t>
  </si>
  <si>
    <t xml:space="preserve">-B3 = </t>
  </si>
  <si>
    <t xml:space="preserve">-B4 = </t>
  </si>
  <si>
    <t xml:space="preserve">-B5 = </t>
  </si>
  <si>
    <t xml:space="preserve">-B6 = </t>
  </si>
  <si>
    <t>СТ22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</si>
</sst>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sz val="18"/>
      <color theme="3"/>
      <name val="Arial"/>
      <family val="2"/>
      <charset val="204"/>
      <scheme val="major"/>
    </font>
    <font>
      <b/>
      <sz val="15"/>
      <color theme="3"/>
      <name val="Arial"/>
      <family val="2"/>
      <charset val="204"/>
      <scheme val="minor"/>
    </font>
    <font>
      <b/>
      <sz val="13"/>
      <color theme="3"/>
      <name val="Arial"/>
      <family val="2"/>
      <charset val="204"/>
      <scheme val="minor"/>
    </font>
    <font>
      <b/>
      <sz val="11"/>
      <color theme="3"/>
      <name val="Arial"/>
      <family val="2"/>
      <charset val="204"/>
      <scheme val="minor"/>
    </font>
    <font>
      <sz val="11"/>
      <color rgb="FF006100"/>
      <name val="Arial"/>
      <family val="2"/>
      <charset val="204"/>
      <scheme val="minor"/>
    </font>
    <font>
      <sz val="11"/>
      <color rgb="FF9C0006"/>
      <name val="Arial"/>
      <family val="2"/>
      <charset val="204"/>
      <scheme val="minor"/>
    </font>
    <font>
      <sz val="11"/>
      <color rgb="FF9C5700"/>
      <name val="Arial"/>
      <family val="2"/>
      <charset val="204"/>
      <scheme val="minor"/>
    </font>
    <font>
      <sz val="11"/>
      <color rgb="FF3F3F76"/>
      <name val="Arial"/>
      <family val="2"/>
      <charset val="204"/>
      <scheme val="minor"/>
    </font>
    <font>
      <b/>
      <sz val="11"/>
      <color rgb="FF3F3F3F"/>
      <name val="Arial"/>
      <family val="2"/>
      <charset val="204"/>
      <scheme val="minor"/>
    </font>
    <font>
      <b/>
      <sz val="11"/>
      <color rgb="FFFA7D00"/>
      <name val="Arial"/>
      <family val="2"/>
      <charset val="204"/>
      <scheme val="minor"/>
    </font>
    <font>
      <sz val="11"/>
      <color rgb="FFFA7D00"/>
      <name val="Arial"/>
      <family val="2"/>
      <charset val="204"/>
      <scheme val="minor"/>
    </font>
    <font>
      <b/>
      <sz val="11"/>
      <color theme="0"/>
      <name val="Arial"/>
      <family val="2"/>
      <charset val="204"/>
      <scheme val="minor"/>
    </font>
    <font>
      <sz val="11"/>
      <color rgb="FFFF0000"/>
      <name val="Arial"/>
      <family val="2"/>
      <charset val="204"/>
      <scheme val="minor"/>
    </font>
    <font>
      <i/>
      <sz val="11"/>
      <color rgb="FF7F7F7F"/>
      <name val="Arial"/>
      <family val="2"/>
      <charset val="204"/>
      <scheme val="minor"/>
    </font>
    <font>
      <b/>
      <sz val="11"/>
      <color theme="1"/>
      <name val="Arial"/>
      <family val="2"/>
      <charset val="204"/>
      <scheme val="minor"/>
    </font>
    <font>
      <sz val="11"/>
      <color theme="0"/>
      <name val="Arial"/>
      <family val="2"/>
      <charset val="204"/>
      <scheme val="minor"/>
    </font>
    <font>
      <sz val="8"/>
      <name val="Arial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/>
    <xf numFmtId="0" fontId="0" fillId="0" borderId="0" xfId="0" applyAlignment="1">
      <alignment horizontal="left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71"/>
  <sheetViews>
    <sheetView tabSelected="1" zoomScale="115" zoomScaleNormal="115" workbookViewId="0">
      <selection activeCell="G6" sqref="G6"/>
    </sheetView>
  </sheetViews>
  <sheetFormatPr defaultColWidth="11.5" defaultRowHeight="12.75" customHeight="1" x14ac:dyDescent="0.3"/>
  <cols>
    <col min="2" max="2" width="13.5" customWidth="1"/>
    <col min="4" max="4" width="4.4140625" customWidth="1"/>
    <col min="5" max="5" width="6.75" style="4" customWidth="1"/>
    <col min="6" max="6" width="6.75" style="1" customWidth="1"/>
    <col min="7" max="20" width="2.5" customWidth="1"/>
    <col min="21" max="23" width="2.4140625" customWidth="1"/>
    <col min="24" max="24" width="4.58203125" customWidth="1"/>
    <col min="25" max="25" width="9.58203125" customWidth="1"/>
    <col min="26" max="40" width="2.33203125" customWidth="1"/>
    <col min="41" max="41" width="2.75" customWidth="1"/>
    <col min="42" max="42" width="2.33203125" customWidth="1"/>
    <col min="43" max="43" width="3.33203125" customWidth="1"/>
    <col min="44" max="44" width="3.4140625" customWidth="1"/>
    <col min="45" max="48" width="3.33203125" customWidth="1"/>
    <col min="49" max="49" width="3.83203125" customWidth="1"/>
    <col min="50" max="50" width="19.5" customWidth="1"/>
    <col min="51" max="51" width="36.33203125" customWidth="1"/>
  </cols>
  <sheetData>
    <row r="1" spans="1:53" ht="12.75" customHeight="1" x14ac:dyDescent="0.3">
      <c r="A1" t="s">
        <v>66</v>
      </c>
      <c r="B1" t="s">
        <v>67</v>
      </c>
      <c r="C1" t="s">
        <v>68</v>
      </c>
      <c r="D1" t="s">
        <v>69</v>
      </c>
      <c r="E1" s="4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86</v>
      </c>
      <c r="V1" t="s">
        <v>93</v>
      </c>
    </row>
    <row r="2" spans="1:53" ht="14" x14ac:dyDescent="0.3">
      <c r="B2" t="s">
        <v>0</v>
      </c>
      <c r="C2">
        <v>1482</v>
      </c>
    </row>
    <row r="3" spans="1:53" ht="14" x14ac:dyDescent="0.3">
      <c r="B3" t="s">
        <v>1</v>
      </c>
      <c r="C3">
        <v>30584</v>
      </c>
      <c r="AZ3" t="s">
        <v>2</v>
      </c>
      <c r="BA3" t="s">
        <v>3</v>
      </c>
    </row>
    <row r="4" spans="1:53" ht="14" x14ac:dyDescent="0.3">
      <c r="AA4" t="b">
        <f t="shared" ref="AA4:AN4" si="0">IF(AB5+AB6+AB4 &gt; 1,TRUE())</f>
        <v>0</v>
      </c>
      <c r="AB4" t="b">
        <f t="shared" si="0"/>
        <v>0</v>
      </c>
      <c r="AC4" t="b">
        <f t="shared" si="0"/>
        <v>0</v>
      </c>
      <c r="AD4" t="b">
        <f t="shared" si="0"/>
        <v>0</v>
      </c>
      <c r="AE4" t="b">
        <f t="shared" si="0"/>
        <v>1</v>
      </c>
      <c r="AF4" t="b">
        <f t="shared" si="0"/>
        <v>1</v>
      </c>
      <c r="AG4" t="b">
        <f t="shared" si="0"/>
        <v>1</v>
      </c>
      <c r="AH4" t="b">
        <f t="shared" si="0"/>
        <v>1</v>
      </c>
      <c r="AI4" t="b">
        <f t="shared" si="0"/>
        <v>1</v>
      </c>
      <c r="AJ4" t="b">
        <f t="shared" si="0"/>
        <v>1</v>
      </c>
      <c r="AK4" t="b">
        <f t="shared" si="0"/>
        <v>1</v>
      </c>
      <c r="AL4" t="b">
        <f t="shared" si="0"/>
        <v>1</v>
      </c>
      <c r="AM4" t="b">
        <f t="shared" si="0"/>
        <v>0</v>
      </c>
      <c r="AN4" t="b">
        <f t="shared" si="0"/>
        <v>0</v>
      </c>
      <c r="AO4" t="b">
        <f>IF(AP5+AP6 &gt; 1,TRUE())</f>
        <v>0</v>
      </c>
      <c r="AR4" t="s">
        <v>4</v>
      </c>
      <c r="AS4" t="s">
        <v>5</v>
      </c>
      <c r="AT4" t="s">
        <v>6</v>
      </c>
      <c r="AU4" t="s">
        <v>7</v>
      </c>
      <c r="AV4" t="s">
        <v>8</v>
      </c>
      <c r="AW4" t="s">
        <v>9</v>
      </c>
      <c r="AY4" t="s">
        <v>10</v>
      </c>
      <c r="AZ4">
        <v>-32768</v>
      </c>
      <c r="BA4">
        <v>32767</v>
      </c>
    </row>
    <row r="5" spans="1:53" ht="14" x14ac:dyDescent="0.3">
      <c r="A5" t="s">
        <v>11</v>
      </c>
      <c r="B5" t="s">
        <v>0</v>
      </c>
      <c r="C5">
        <f>C2</f>
        <v>1482</v>
      </c>
      <c r="E5" s="4" t="s">
        <v>12</v>
      </c>
      <c r="G5">
        <f t="shared" ref="G5:V5" si="1">IF($C5&gt;0, G29, G44)</f>
        <v>0</v>
      </c>
      <c r="H5">
        <f t="shared" si="1"/>
        <v>0</v>
      </c>
      <c r="I5">
        <f t="shared" si="1"/>
        <v>0</v>
      </c>
      <c r="J5">
        <f t="shared" si="1"/>
        <v>0</v>
      </c>
      <c r="K5">
        <f t="shared" si="1"/>
        <v>0</v>
      </c>
      <c r="L5">
        <f t="shared" si="1"/>
        <v>1</v>
      </c>
      <c r="M5">
        <f t="shared" si="1"/>
        <v>0</v>
      </c>
      <c r="N5">
        <f t="shared" si="1"/>
        <v>1</v>
      </c>
      <c r="O5">
        <f t="shared" si="1"/>
        <v>1</v>
      </c>
      <c r="P5">
        <f t="shared" si="1"/>
        <v>1</v>
      </c>
      <c r="Q5">
        <f t="shared" si="1"/>
        <v>0</v>
      </c>
      <c r="R5">
        <f t="shared" si="1"/>
        <v>0</v>
      </c>
      <c r="S5">
        <f t="shared" si="1"/>
        <v>1</v>
      </c>
      <c r="T5">
        <f t="shared" si="1"/>
        <v>0</v>
      </c>
      <c r="U5">
        <f t="shared" si="1"/>
        <v>1</v>
      </c>
      <c r="V5">
        <f t="shared" si="1"/>
        <v>0</v>
      </c>
      <c r="Y5" t="str">
        <f>E5</f>
        <v xml:space="preserve">B1 = </v>
      </c>
      <c r="AA5">
        <f t="shared" ref="AA5:AP6" si="2">G5</f>
        <v>0</v>
      </c>
      <c r="AB5">
        <f t="shared" si="2"/>
        <v>0</v>
      </c>
      <c r="AC5">
        <f t="shared" si="2"/>
        <v>0</v>
      </c>
      <c r="AD5">
        <f t="shared" si="2"/>
        <v>0</v>
      </c>
      <c r="AE5">
        <f t="shared" si="2"/>
        <v>0</v>
      </c>
      <c r="AF5">
        <f t="shared" si="2"/>
        <v>1</v>
      </c>
      <c r="AG5">
        <f t="shared" si="2"/>
        <v>0</v>
      </c>
      <c r="AH5">
        <f t="shared" si="2"/>
        <v>1</v>
      </c>
      <c r="AI5">
        <f t="shared" si="2"/>
        <v>1</v>
      </c>
      <c r="AJ5">
        <f t="shared" si="2"/>
        <v>1</v>
      </c>
      <c r="AK5">
        <f t="shared" si="2"/>
        <v>0</v>
      </c>
      <c r="AL5">
        <f t="shared" si="2"/>
        <v>0</v>
      </c>
      <c r="AM5">
        <f t="shared" si="2"/>
        <v>1</v>
      </c>
      <c r="AN5">
        <f t="shared" si="2"/>
        <v>0</v>
      </c>
      <c r="AO5">
        <f t="shared" si="2"/>
        <v>1</v>
      </c>
      <c r="AP5">
        <f t="shared" si="2"/>
        <v>0</v>
      </c>
      <c r="AR5">
        <f>Z8</f>
        <v>0</v>
      </c>
      <c r="AS5">
        <f>IF(AND(AA5 = AA6, NOT(AA6 = AA8)), 1, 0)</f>
        <v>0</v>
      </c>
      <c r="AT5">
        <f>IF(Z11 = 0,1,0)</f>
        <v>0</v>
      </c>
      <c r="AU5">
        <f>IF(AM4+AM5+AM6 &gt; 1, 1, 0)</f>
        <v>1</v>
      </c>
      <c r="AV5">
        <f>IF(AA8,0,1)</f>
        <v>1</v>
      </c>
      <c r="AW5">
        <f>IF(MOD(SUM(AM8:AP8),2) = 0, 1,0)</f>
        <v>0</v>
      </c>
    </row>
    <row r="6" spans="1:53" ht="14" x14ac:dyDescent="0.3">
      <c r="A6" t="s">
        <v>13</v>
      </c>
      <c r="B6" t="s">
        <v>1</v>
      </c>
      <c r="C6">
        <f>C3</f>
        <v>30584</v>
      </c>
      <c r="E6" s="4" t="s">
        <v>14</v>
      </c>
      <c r="G6">
        <f t="shared" ref="G6:V6" si="3">IF($C6&gt;0, G30, G45)</f>
        <v>0</v>
      </c>
      <c r="H6">
        <f t="shared" si="3"/>
        <v>1</v>
      </c>
      <c r="I6">
        <f t="shared" si="3"/>
        <v>1</v>
      </c>
      <c r="J6">
        <f t="shared" si="3"/>
        <v>1</v>
      </c>
      <c r="K6">
        <f t="shared" si="3"/>
        <v>0</v>
      </c>
      <c r="L6">
        <f t="shared" si="3"/>
        <v>1</v>
      </c>
      <c r="M6">
        <f t="shared" si="3"/>
        <v>1</v>
      </c>
      <c r="N6">
        <f t="shared" si="3"/>
        <v>1</v>
      </c>
      <c r="O6">
        <f t="shared" si="3"/>
        <v>0</v>
      </c>
      <c r="P6">
        <f t="shared" si="3"/>
        <v>1</v>
      </c>
      <c r="Q6">
        <f t="shared" si="3"/>
        <v>1</v>
      </c>
      <c r="R6">
        <f t="shared" si="3"/>
        <v>1</v>
      </c>
      <c r="S6">
        <f t="shared" si="3"/>
        <v>1</v>
      </c>
      <c r="T6">
        <f t="shared" si="3"/>
        <v>0</v>
      </c>
      <c r="U6">
        <f t="shared" si="3"/>
        <v>0</v>
      </c>
      <c r="V6">
        <f t="shared" si="3"/>
        <v>0</v>
      </c>
      <c r="Y6" t="str">
        <f>E6</f>
        <v xml:space="preserve">B2 = </v>
      </c>
      <c r="AA6">
        <f t="shared" si="2"/>
        <v>0</v>
      </c>
      <c r="AB6">
        <f t="shared" si="2"/>
        <v>1</v>
      </c>
      <c r="AC6">
        <f t="shared" si="2"/>
        <v>1</v>
      </c>
      <c r="AD6">
        <f t="shared" si="2"/>
        <v>1</v>
      </c>
      <c r="AE6">
        <f t="shared" si="2"/>
        <v>0</v>
      </c>
      <c r="AF6">
        <f t="shared" si="2"/>
        <v>1</v>
      </c>
      <c r="AG6">
        <f t="shared" si="2"/>
        <v>1</v>
      </c>
      <c r="AH6">
        <f t="shared" si="2"/>
        <v>1</v>
      </c>
      <c r="AI6">
        <f t="shared" si="2"/>
        <v>0</v>
      </c>
      <c r="AJ6">
        <f t="shared" si="2"/>
        <v>1</v>
      </c>
      <c r="AK6">
        <f t="shared" si="2"/>
        <v>1</v>
      </c>
      <c r="AL6">
        <f t="shared" si="2"/>
        <v>1</v>
      </c>
      <c r="AM6">
        <f t="shared" si="2"/>
        <v>1</v>
      </c>
      <c r="AN6">
        <f t="shared" si="2"/>
        <v>0</v>
      </c>
      <c r="AO6">
        <f t="shared" si="2"/>
        <v>0</v>
      </c>
      <c r="AP6">
        <f t="shared" si="2"/>
        <v>0</v>
      </c>
      <c r="AY6" t="s">
        <v>15</v>
      </c>
    </row>
    <row r="7" spans="1:53" ht="14" x14ac:dyDescent="0.3">
      <c r="A7" t="s">
        <v>16</v>
      </c>
      <c r="B7" t="s">
        <v>17</v>
      </c>
      <c r="C7">
        <f>C2+C3</f>
        <v>32066</v>
      </c>
      <c r="E7" s="4" t="s">
        <v>18</v>
      </c>
      <c r="G7">
        <f t="shared" ref="G7:V7" si="4">IF($C7&gt;0, G31, G46)</f>
        <v>0</v>
      </c>
      <c r="H7">
        <f t="shared" si="4"/>
        <v>1</v>
      </c>
      <c r="I7">
        <f t="shared" si="4"/>
        <v>1</v>
      </c>
      <c r="J7">
        <f t="shared" si="4"/>
        <v>1</v>
      </c>
      <c r="K7">
        <f t="shared" si="4"/>
        <v>1</v>
      </c>
      <c r="L7">
        <f t="shared" si="4"/>
        <v>1</v>
      </c>
      <c r="M7">
        <f t="shared" si="4"/>
        <v>0</v>
      </c>
      <c r="N7">
        <f t="shared" si="4"/>
        <v>1</v>
      </c>
      <c r="O7">
        <f t="shared" si="4"/>
        <v>0</v>
      </c>
      <c r="P7">
        <f t="shared" si="4"/>
        <v>1</v>
      </c>
      <c r="Q7">
        <f t="shared" si="4"/>
        <v>0</v>
      </c>
      <c r="R7">
        <f t="shared" si="4"/>
        <v>0</v>
      </c>
      <c r="S7">
        <f t="shared" si="4"/>
        <v>0</v>
      </c>
      <c r="T7">
        <f t="shared" si="4"/>
        <v>0</v>
      </c>
      <c r="U7">
        <f t="shared" si="4"/>
        <v>1</v>
      </c>
      <c r="V7">
        <f t="shared" si="4"/>
        <v>0</v>
      </c>
      <c r="Y7" t="s">
        <v>19</v>
      </c>
      <c r="Z7" t="s">
        <v>20</v>
      </c>
      <c r="AA7" t="s">
        <v>21</v>
      </c>
      <c r="AB7" t="s">
        <v>21</v>
      </c>
      <c r="AC7" t="s">
        <v>21</v>
      </c>
      <c r="AD7" t="s">
        <v>21</v>
      </c>
      <c r="AE7" t="s">
        <v>21</v>
      </c>
      <c r="AF7" t="s">
        <v>21</v>
      </c>
      <c r="AG7" t="s">
        <v>21</v>
      </c>
      <c r="AH7" t="s">
        <v>21</v>
      </c>
      <c r="AI7" t="s">
        <v>21</v>
      </c>
      <c r="AJ7" t="s">
        <v>21</v>
      </c>
      <c r="AK7" t="s">
        <v>21</v>
      </c>
      <c r="AL7" t="s">
        <v>21</v>
      </c>
      <c r="AM7" t="s">
        <v>21</v>
      </c>
      <c r="AN7" t="s">
        <v>21</v>
      </c>
      <c r="AO7" t="s">
        <v>21</v>
      </c>
      <c r="AP7" t="s">
        <v>21</v>
      </c>
      <c r="AR7" s="3" t="str">
        <f>"при сумме "&amp;IF(AA5=AA6,IF(AA5,"отрицательных","положительных"),"")&amp;CHAR(10)&amp;"чисел "&amp;" получено "&amp;IF(AA8,"отрицательное","положительное")&amp;"  число."&amp;CHAR(10)&amp;IF(NOT(AR5),"Не происходит перноса","Происходит перенос")&amp;CHAR(10)&amp;"и "&amp;IF(NOT(AS5),"не происходит переполнения","происходит переполнение")&amp;"."&amp;CHAR(10)&amp;"Выражение вычислено "&amp;IF(Y11=Z11,"корректно","некорректно")</f>
        <v>при сумме положительных
чисел  получено положительное  число.
Не происходит перноса
и не происходит переполнения.
Выражение вычислено корректно</v>
      </c>
      <c r="AS7" s="3"/>
      <c r="AT7" s="3"/>
      <c r="AU7" s="3"/>
      <c r="AV7" s="3"/>
      <c r="AW7" s="3"/>
      <c r="AX7" s="3"/>
      <c r="AY7" t="s">
        <v>22</v>
      </c>
      <c r="AZ7">
        <f>-32768/2</f>
        <v>-16384</v>
      </c>
      <c r="BA7">
        <f>32766/2</f>
        <v>16383</v>
      </c>
    </row>
    <row r="8" spans="1:53" ht="14" x14ac:dyDescent="0.3">
      <c r="A8" t="s">
        <v>23</v>
      </c>
      <c r="B8" t="s">
        <v>24</v>
      </c>
      <c r="C8">
        <f>C2+C3+C3</f>
        <v>62650</v>
      </c>
      <c r="E8" s="4" t="s">
        <v>25</v>
      </c>
      <c r="G8">
        <f t="shared" ref="G8:V8" si="5">IF($C8&gt;0, G32, G47)</f>
        <v>1</v>
      </c>
      <c r="H8">
        <f t="shared" si="5"/>
        <v>1</v>
      </c>
      <c r="I8">
        <f t="shared" si="5"/>
        <v>1</v>
      </c>
      <c r="J8">
        <f t="shared" si="5"/>
        <v>1</v>
      </c>
      <c r="K8">
        <f t="shared" si="5"/>
        <v>0</v>
      </c>
      <c r="L8">
        <f t="shared" si="5"/>
        <v>1</v>
      </c>
      <c r="M8">
        <f t="shared" si="5"/>
        <v>0</v>
      </c>
      <c r="N8">
        <f t="shared" si="5"/>
        <v>0</v>
      </c>
      <c r="O8">
        <f t="shared" si="5"/>
        <v>1</v>
      </c>
      <c r="P8">
        <f t="shared" si="5"/>
        <v>0</v>
      </c>
      <c r="Q8">
        <f t="shared" si="5"/>
        <v>1</v>
      </c>
      <c r="R8">
        <f t="shared" si="5"/>
        <v>1</v>
      </c>
      <c r="S8">
        <f t="shared" si="5"/>
        <v>1</v>
      </c>
      <c r="T8">
        <f t="shared" si="5"/>
        <v>0</v>
      </c>
      <c r="U8">
        <f t="shared" si="5"/>
        <v>1</v>
      </c>
      <c r="V8">
        <f t="shared" si="5"/>
        <v>0</v>
      </c>
      <c r="Y8" t="s">
        <v>26</v>
      </c>
      <c r="Z8">
        <f>IF(AA4+AA5+AA6 &gt; 1, 1, 0)</f>
        <v>0</v>
      </c>
      <c r="AA8">
        <f t="shared" ref="AA8:AO8" si="6">MOD(AA4+AA5+AA6,2)</f>
        <v>0</v>
      </c>
      <c r="AB8">
        <f t="shared" si="6"/>
        <v>1</v>
      </c>
      <c r="AC8">
        <f t="shared" si="6"/>
        <v>1</v>
      </c>
      <c r="AD8">
        <f t="shared" si="6"/>
        <v>1</v>
      </c>
      <c r="AE8">
        <f t="shared" si="6"/>
        <v>1</v>
      </c>
      <c r="AF8">
        <f t="shared" si="6"/>
        <v>1</v>
      </c>
      <c r="AG8">
        <f t="shared" si="6"/>
        <v>0</v>
      </c>
      <c r="AH8">
        <f t="shared" si="6"/>
        <v>1</v>
      </c>
      <c r="AI8">
        <f t="shared" si="6"/>
        <v>0</v>
      </c>
      <c r="AJ8">
        <f t="shared" si="6"/>
        <v>1</v>
      </c>
      <c r="AK8">
        <f t="shared" si="6"/>
        <v>0</v>
      </c>
      <c r="AL8">
        <f t="shared" si="6"/>
        <v>0</v>
      </c>
      <c r="AM8">
        <f t="shared" si="6"/>
        <v>0</v>
      </c>
      <c r="AN8">
        <f t="shared" si="6"/>
        <v>0</v>
      </c>
      <c r="AO8">
        <f t="shared" si="6"/>
        <v>1</v>
      </c>
      <c r="AP8">
        <f>MOD(AP5+AP6,2)</f>
        <v>0</v>
      </c>
      <c r="AR8" s="3"/>
      <c r="AS8" s="3"/>
      <c r="AT8" s="3"/>
      <c r="AU8" s="3"/>
      <c r="AV8" s="3"/>
      <c r="AW8" s="3"/>
      <c r="AX8" s="3"/>
      <c r="AY8" t="s">
        <v>20</v>
      </c>
      <c r="AZ8">
        <f>AZ7/2</f>
        <v>-8192</v>
      </c>
      <c r="BA8">
        <f>(BA7-1)/2</f>
        <v>8191</v>
      </c>
    </row>
    <row r="9" spans="1:53" ht="14" x14ac:dyDescent="0.3">
      <c r="A9" t="s">
        <v>27</v>
      </c>
      <c r="B9" t="s">
        <v>28</v>
      </c>
      <c r="C9">
        <f>C3-C2</f>
        <v>29102</v>
      </c>
      <c r="E9" s="4" t="s">
        <v>29</v>
      </c>
      <c r="G9">
        <f t="shared" ref="G9:V9" si="7">IF($C9&gt;0, G33, G48)</f>
        <v>0</v>
      </c>
      <c r="H9">
        <f t="shared" si="7"/>
        <v>1</v>
      </c>
      <c r="I9">
        <f t="shared" si="7"/>
        <v>1</v>
      </c>
      <c r="J9">
        <f t="shared" si="7"/>
        <v>1</v>
      </c>
      <c r="K9">
        <f t="shared" si="7"/>
        <v>0</v>
      </c>
      <c r="L9">
        <f t="shared" si="7"/>
        <v>0</v>
      </c>
      <c r="M9">
        <f t="shared" si="7"/>
        <v>0</v>
      </c>
      <c r="N9">
        <f t="shared" si="7"/>
        <v>1</v>
      </c>
      <c r="O9">
        <f t="shared" si="7"/>
        <v>1</v>
      </c>
      <c r="P9">
        <f t="shared" si="7"/>
        <v>0</v>
      </c>
      <c r="Q9">
        <f t="shared" si="7"/>
        <v>1</v>
      </c>
      <c r="R9">
        <f t="shared" si="7"/>
        <v>0</v>
      </c>
      <c r="S9">
        <f t="shared" si="7"/>
        <v>1</v>
      </c>
      <c r="T9">
        <f t="shared" si="7"/>
        <v>1</v>
      </c>
      <c r="U9">
        <f t="shared" si="7"/>
        <v>1</v>
      </c>
      <c r="V9">
        <f t="shared" si="7"/>
        <v>0</v>
      </c>
      <c r="AA9">
        <f t="shared" ref="AA9:AN9" si="8">MOD(NOT(AA8) + IF(AND(NOT(AB8), NOT(AB9)),1,0),2)</f>
        <v>1</v>
      </c>
      <c r="AB9">
        <f t="shared" si="8"/>
        <v>0</v>
      </c>
      <c r="AC9">
        <f t="shared" si="8"/>
        <v>0</v>
      </c>
      <c r="AD9">
        <f t="shared" si="8"/>
        <v>0</v>
      </c>
      <c r="AE9">
        <f t="shared" si="8"/>
        <v>0</v>
      </c>
      <c r="AF9">
        <f t="shared" si="8"/>
        <v>0</v>
      </c>
      <c r="AG9">
        <f t="shared" si="8"/>
        <v>1</v>
      </c>
      <c r="AH9">
        <f t="shared" si="8"/>
        <v>0</v>
      </c>
      <c r="AI9">
        <f t="shared" si="8"/>
        <v>1</v>
      </c>
      <c r="AJ9">
        <f t="shared" si="8"/>
        <v>0</v>
      </c>
      <c r="AK9">
        <f t="shared" si="8"/>
        <v>1</v>
      </c>
      <c r="AL9">
        <f t="shared" si="8"/>
        <v>1</v>
      </c>
      <c r="AM9">
        <f t="shared" si="8"/>
        <v>1</v>
      </c>
      <c r="AN9">
        <f t="shared" si="8"/>
        <v>1</v>
      </c>
      <c r="AO9">
        <f>MOD(NOT(AO8)+IF(NOT(AP8)+1 &gt; 1, 1, 0), 2)</f>
        <v>1</v>
      </c>
      <c r="AP9">
        <f>MOD(NOT(AP8) + 1, 2)</f>
        <v>0</v>
      </c>
      <c r="AR9" s="3"/>
      <c r="AS9" s="3"/>
      <c r="AT9" s="3"/>
      <c r="AU9" s="3"/>
      <c r="AV9" s="3"/>
      <c r="AW9" s="3"/>
      <c r="AX9" s="3"/>
    </row>
    <row r="10" spans="1:53" ht="14" x14ac:dyDescent="0.3">
      <c r="A10" t="s">
        <v>30</v>
      </c>
      <c r="B10" t="s">
        <v>31</v>
      </c>
      <c r="C10">
        <f>65536-C8</f>
        <v>2886</v>
      </c>
      <c r="E10" s="4" t="s">
        <v>32</v>
      </c>
      <c r="G10">
        <f t="shared" ref="G10:V10" si="9">IF($C10&gt;0, G34, G49)</f>
        <v>0</v>
      </c>
      <c r="H10">
        <f t="shared" si="9"/>
        <v>0</v>
      </c>
      <c r="I10">
        <f t="shared" si="9"/>
        <v>0</v>
      </c>
      <c r="J10">
        <f t="shared" si="9"/>
        <v>0</v>
      </c>
      <c r="K10">
        <f t="shared" si="9"/>
        <v>1</v>
      </c>
      <c r="L10">
        <f t="shared" si="9"/>
        <v>0</v>
      </c>
      <c r="M10">
        <f t="shared" si="9"/>
        <v>1</v>
      </c>
      <c r="N10">
        <f t="shared" si="9"/>
        <v>1</v>
      </c>
      <c r="O10">
        <f t="shared" si="9"/>
        <v>0</v>
      </c>
      <c r="P10">
        <f t="shared" si="9"/>
        <v>1</v>
      </c>
      <c r="Q10">
        <f t="shared" si="9"/>
        <v>0</v>
      </c>
      <c r="R10">
        <f t="shared" si="9"/>
        <v>0</v>
      </c>
      <c r="S10">
        <f t="shared" si="9"/>
        <v>0</v>
      </c>
      <c r="T10">
        <f t="shared" si="9"/>
        <v>1</v>
      </c>
      <c r="U10">
        <f t="shared" si="9"/>
        <v>1</v>
      </c>
      <c r="V10">
        <f t="shared" si="9"/>
        <v>0</v>
      </c>
      <c r="Y10" t="s">
        <v>33</v>
      </c>
      <c r="AA10" s="3" t="str">
        <f>IF(NOT(AA8), BIN2HEX($AA8&amp;$AB8&amp;$AC8&amp;AD8), BIN2HEX($AA9&amp;$AB9&amp;$AC9&amp;AD9))</f>
        <v>7</v>
      </c>
      <c r="AB10" s="3"/>
      <c r="AC10" s="3"/>
      <c r="AD10" s="3"/>
      <c r="AE10" s="3" t="str">
        <f>IF(NOT(AA8),BIN2HEX($AE8&amp;$AF8&amp;$AG8&amp;$AH8),BIN2HEX($AE9&amp;$AF9&amp;$AG9&amp;$AH9))</f>
        <v>D</v>
      </c>
      <c r="AF10" s="3"/>
      <c r="AG10" s="3"/>
      <c r="AH10" s="3"/>
      <c r="AI10" s="3" t="str">
        <f>IF(NOT(AA8),BIN2HEX($AI8&amp;$AJ8&amp;$AK8&amp;$AL8), BIN2HEX($AI9&amp;$AJ9&amp;$AK9&amp;$AL9))</f>
        <v>4</v>
      </c>
      <c r="AJ10" s="3"/>
      <c r="AK10" s="3"/>
      <c r="AL10" s="3"/>
      <c r="AM10" s="3" t="str">
        <f>IF(NOT(AA8),BIN2HEX($AM8&amp;$AN8&amp;$AO8&amp;$AP8), BIN2HEX($AM9&amp;$AN9&amp;$AO9&amp;$AP9))</f>
        <v>2</v>
      </c>
      <c r="AN10" s="3"/>
      <c r="AO10" s="3"/>
      <c r="AP10" s="3"/>
      <c r="AR10" s="3"/>
      <c r="AS10" s="3"/>
      <c r="AT10" s="3"/>
      <c r="AU10" s="3"/>
      <c r="AV10" s="3"/>
      <c r="AW10" s="3"/>
      <c r="AX10" s="3"/>
    </row>
    <row r="11" spans="1:53" ht="14" x14ac:dyDescent="0.3">
      <c r="A11" t="s">
        <v>34</v>
      </c>
      <c r="B11" t="s">
        <v>35</v>
      </c>
      <c r="C11">
        <f t="shared" ref="C11:C16" si="10">-C5</f>
        <v>-1482</v>
      </c>
      <c r="E11" s="4" t="s">
        <v>36</v>
      </c>
      <c r="F11" s="2" t="s">
        <v>87</v>
      </c>
      <c r="G11">
        <f t="shared" ref="G11:U11" si="11">MOD(NOT(G5)+H19,2)</f>
        <v>1</v>
      </c>
      <c r="H11">
        <f t="shared" si="11"/>
        <v>1</v>
      </c>
      <c r="I11">
        <f t="shared" si="11"/>
        <v>1</v>
      </c>
      <c r="J11">
        <f t="shared" si="11"/>
        <v>1</v>
      </c>
      <c r="K11">
        <f t="shared" si="11"/>
        <v>1</v>
      </c>
      <c r="L11">
        <f t="shared" si="11"/>
        <v>0</v>
      </c>
      <c r="M11">
        <f t="shared" si="11"/>
        <v>1</v>
      </c>
      <c r="N11">
        <f t="shared" si="11"/>
        <v>0</v>
      </c>
      <c r="O11">
        <f t="shared" si="11"/>
        <v>0</v>
      </c>
      <c r="P11">
        <f t="shared" si="11"/>
        <v>0</v>
      </c>
      <c r="Q11">
        <f t="shared" si="11"/>
        <v>1</v>
      </c>
      <c r="R11">
        <f t="shared" si="11"/>
        <v>1</v>
      </c>
      <c r="S11">
        <f t="shared" si="11"/>
        <v>0</v>
      </c>
      <c r="T11">
        <f t="shared" si="11"/>
        <v>1</v>
      </c>
      <c r="U11">
        <f t="shared" si="11"/>
        <v>1</v>
      </c>
      <c r="V11">
        <f t="shared" ref="V11:V16" si="12">MOD(NOT(V5)+1,2)</f>
        <v>0</v>
      </c>
      <c r="Y11">
        <f>C5+C6</f>
        <v>32066</v>
      </c>
      <c r="Z11" s="3">
        <f>IF(NOT(AA8), 1, -1) * HEX2DEC(AA10&amp;AE10&amp;AI10&amp;AM10)</f>
        <v>32066</v>
      </c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R11" s="3"/>
      <c r="AS11" s="3"/>
      <c r="AT11" s="3"/>
      <c r="AU11" s="3"/>
      <c r="AV11" s="3"/>
      <c r="AW11" s="3"/>
      <c r="AX11" s="3"/>
    </row>
    <row r="12" spans="1:53" ht="14" x14ac:dyDescent="0.3">
      <c r="A12" t="s">
        <v>37</v>
      </c>
      <c r="B12" t="s">
        <v>38</v>
      </c>
      <c r="C12">
        <f t="shared" si="10"/>
        <v>-30584</v>
      </c>
      <c r="E12" s="4" t="s">
        <v>39</v>
      </c>
      <c r="F12" s="2" t="s">
        <v>88</v>
      </c>
      <c r="G12">
        <f t="shared" ref="G12:U12" si="13">MOD(NOT(G6)+H20,2)</f>
        <v>1</v>
      </c>
      <c r="H12">
        <f t="shared" si="13"/>
        <v>0</v>
      </c>
      <c r="I12">
        <f t="shared" si="13"/>
        <v>0</v>
      </c>
      <c r="J12">
        <f t="shared" si="13"/>
        <v>0</v>
      </c>
      <c r="K12">
        <f t="shared" si="13"/>
        <v>1</v>
      </c>
      <c r="L12">
        <f t="shared" si="13"/>
        <v>0</v>
      </c>
      <c r="M12">
        <f t="shared" si="13"/>
        <v>0</v>
      </c>
      <c r="N12">
        <f t="shared" si="13"/>
        <v>0</v>
      </c>
      <c r="O12">
        <f t="shared" si="13"/>
        <v>1</v>
      </c>
      <c r="P12">
        <f t="shared" si="13"/>
        <v>0</v>
      </c>
      <c r="Q12">
        <f t="shared" si="13"/>
        <v>0</v>
      </c>
      <c r="R12">
        <f t="shared" si="13"/>
        <v>0</v>
      </c>
      <c r="S12">
        <f t="shared" si="13"/>
        <v>1</v>
      </c>
      <c r="T12">
        <f t="shared" si="13"/>
        <v>0</v>
      </c>
      <c r="U12">
        <f t="shared" si="13"/>
        <v>0</v>
      </c>
      <c r="V12">
        <f t="shared" si="12"/>
        <v>0</v>
      </c>
    </row>
    <row r="13" spans="1:53" ht="14" x14ac:dyDescent="0.3">
      <c r="A13" t="s">
        <v>40</v>
      </c>
      <c r="B13" t="s">
        <v>41</v>
      </c>
      <c r="C13">
        <f t="shared" si="10"/>
        <v>-32066</v>
      </c>
      <c r="E13" s="4" t="s">
        <v>42</v>
      </c>
      <c r="F13" s="2" t="s">
        <v>89</v>
      </c>
      <c r="G13">
        <f t="shared" ref="G13:U13" si="14">MOD(NOT(G7)+H21,2)</f>
        <v>1</v>
      </c>
      <c r="H13">
        <f t="shared" si="14"/>
        <v>0</v>
      </c>
      <c r="I13">
        <f t="shared" si="14"/>
        <v>0</v>
      </c>
      <c r="J13">
        <f t="shared" si="14"/>
        <v>0</v>
      </c>
      <c r="K13">
        <f t="shared" si="14"/>
        <v>0</v>
      </c>
      <c r="L13">
        <f t="shared" si="14"/>
        <v>0</v>
      </c>
      <c r="M13">
        <f t="shared" si="14"/>
        <v>1</v>
      </c>
      <c r="N13">
        <f t="shared" si="14"/>
        <v>0</v>
      </c>
      <c r="O13">
        <f t="shared" si="14"/>
        <v>1</v>
      </c>
      <c r="P13">
        <f t="shared" si="14"/>
        <v>0</v>
      </c>
      <c r="Q13">
        <f t="shared" si="14"/>
        <v>1</v>
      </c>
      <c r="R13">
        <f t="shared" si="14"/>
        <v>1</v>
      </c>
      <c r="S13">
        <f t="shared" si="14"/>
        <v>1</v>
      </c>
      <c r="T13">
        <f t="shared" si="14"/>
        <v>1</v>
      </c>
      <c r="U13">
        <f t="shared" si="14"/>
        <v>1</v>
      </c>
      <c r="V13">
        <f t="shared" si="12"/>
        <v>0</v>
      </c>
    </row>
    <row r="14" spans="1:53" ht="14" x14ac:dyDescent="0.3">
      <c r="A14" t="s">
        <v>43</v>
      </c>
      <c r="B14" t="s">
        <v>44</v>
      </c>
      <c r="C14">
        <f t="shared" si="10"/>
        <v>-62650</v>
      </c>
      <c r="E14" s="4" t="s">
        <v>45</v>
      </c>
      <c r="F14" s="2" t="s">
        <v>90</v>
      </c>
      <c r="G14">
        <f t="shared" ref="G14:U14" si="15">MOD(NOT(G8)+H22,2)</f>
        <v>0</v>
      </c>
      <c r="H14">
        <f t="shared" si="15"/>
        <v>0</v>
      </c>
      <c r="I14">
        <f t="shared" si="15"/>
        <v>0</v>
      </c>
      <c r="J14">
        <f t="shared" si="15"/>
        <v>0</v>
      </c>
      <c r="K14">
        <f t="shared" si="15"/>
        <v>1</v>
      </c>
      <c r="L14">
        <f t="shared" si="15"/>
        <v>0</v>
      </c>
      <c r="M14">
        <f t="shared" si="15"/>
        <v>1</v>
      </c>
      <c r="N14">
        <f t="shared" si="15"/>
        <v>1</v>
      </c>
      <c r="O14">
        <f t="shared" si="15"/>
        <v>0</v>
      </c>
      <c r="P14">
        <f t="shared" si="15"/>
        <v>1</v>
      </c>
      <c r="Q14">
        <f t="shared" si="15"/>
        <v>0</v>
      </c>
      <c r="R14">
        <f t="shared" si="15"/>
        <v>0</v>
      </c>
      <c r="S14">
        <f t="shared" si="15"/>
        <v>0</v>
      </c>
      <c r="T14">
        <f t="shared" si="15"/>
        <v>1</v>
      </c>
      <c r="U14">
        <f t="shared" si="15"/>
        <v>1</v>
      </c>
      <c r="V14">
        <f t="shared" si="12"/>
        <v>0</v>
      </c>
      <c r="AA14" t="b">
        <f t="shared" ref="AA14:AN14" si="16">IF(AB15+AB16+AB14 &gt; 1,TRUE())</f>
        <v>1</v>
      </c>
      <c r="AB14" t="b">
        <f t="shared" si="16"/>
        <v>1</v>
      </c>
      <c r="AC14" t="b">
        <f t="shared" si="16"/>
        <v>1</v>
      </c>
      <c r="AD14" t="b">
        <f t="shared" si="16"/>
        <v>1</v>
      </c>
      <c r="AE14" t="b">
        <f t="shared" si="16"/>
        <v>1</v>
      </c>
      <c r="AF14" t="b">
        <f t="shared" si="16"/>
        <v>1</v>
      </c>
      <c r="AG14" t="b">
        <f t="shared" si="16"/>
        <v>1</v>
      </c>
      <c r="AH14" t="b">
        <f t="shared" si="16"/>
        <v>0</v>
      </c>
      <c r="AI14" t="b">
        <f t="shared" si="16"/>
        <v>1</v>
      </c>
      <c r="AJ14" t="b">
        <f t="shared" si="16"/>
        <v>0</v>
      </c>
      <c r="AK14" t="b">
        <f t="shared" si="16"/>
        <v>0</v>
      </c>
      <c r="AL14" t="b">
        <f t="shared" si="16"/>
        <v>0</v>
      </c>
      <c r="AM14" t="b">
        <f t="shared" si="16"/>
        <v>0</v>
      </c>
      <c r="AN14" t="b">
        <f t="shared" si="16"/>
        <v>0</v>
      </c>
      <c r="AO14" t="b">
        <f>IF(AP15+AP16 &gt; 1,TRUE())</f>
        <v>0</v>
      </c>
      <c r="AR14" t="s">
        <v>4</v>
      </c>
      <c r="AS14" t="s">
        <v>5</v>
      </c>
      <c r="AT14" t="s">
        <v>6</v>
      </c>
      <c r="AU14" t="s">
        <v>7</v>
      </c>
      <c r="AV14" t="s">
        <v>8</v>
      </c>
      <c r="AW14" t="s">
        <v>9</v>
      </c>
    </row>
    <row r="15" spans="1:53" ht="14" x14ac:dyDescent="0.3">
      <c r="A15" t="s">
        <v>46</v>
      </c>
      <c r="B15" t="s">
        <v>47</v>
      </c>
      <c r="C15">
        <f t="shared" si="10"/>
        <v>-29102</v>
      </c>
      <c r="E15" s="4" t="s">
        <v>48</v>
      </c>
      <c r="F15" s="2" t="s">
        <v>91</v>
      </c>
      <c r="G15">
        <f t="shared" ref="G15:U15" si="17">MOD(NOT(G9)+H23,2)</f>
        <v>1</v>
      </c>
      <c r="H15">
        <f t="shared" si="17"/>
        <v>0</v>
      </c>
      <c r="I15">
        <f t="shared" si="17"/>
        <v>0</v>
      </c>
      <c r="J15">
        <f t="shared" si="17"/>
        <v>0</v>
      </c>
      <c r="K15">
        <f t="shared" si="17"/>
        <v>1</v>
      </c>
      <c r="L15">
        <f t="shared" si="17"/>
        <v>1</v>
      </c>
      <c r="M15">
        <f t="shared" si="17"/>
        <v>1</v>
      </c>
      <c r="N15">
        <f t="shared" si="17"/>
        <v>0</v>
      </c>
      <c r="O15">
        <f t="shared" si="17"/>
        <v>0</v>
      </c>
      <c r="P15">
        <f t="shared" si="17"/>
        <v>1</v>
      </c>
      <c r="Q15">
        <f t="shared" si="17"/>
        <v>0</v>
      </c>
      <c r="R15">
        <f t="shared" si="17"/>
        <v>1</v>
      </c>
      <c r="S15">
        <f t="shared" si="17"/>
        <v>0</v>
      </c>
      <c r="T15">
        <f t="shared" si="17"/>
        <v>0</v>
      </c>
      <c r="U15">
        <f t="shared" si="17"/>
        <v>1</v>
      </c>
      <c r="V15">
        <f t="shared" si="12"/>
        <v>0</v>
      </c>
      <c r="Y15" t="str">
        <f>E6</f>
        <v xml:space="preserve">B2 = </v>
      </c>
      <c r="AA15">
        <f t="shared" ref="AA15:AP16" si="18">G6</f>
        <v>0</v>
      </c>
      <c r="AB15">
        <f t="shared" si="18"/>
        <v>1</v>
      </c>
      <c r="AC15">
        <f t="shared" si="18"/>
        <v>1</v>
      </c>
      <c r="AD15">
        <f t="shared" si="18"/>
        <v>1</v>
      </c>
      <c r="AE15">
        <f t="shared" si="18"/>
        <v>0</v>
      </c>
      <c r="AF15">
        <f t="shared" si="18"/>
        <v>1</v>
      </c>
      <c r="AG15">
        <f t="shared" si="18"/>
        <v>1</v>
      </c>
      <c r="AH15">
        <f t="shared" si="18"/>
        <v>1</v>
      </c>
      <c r="AI15">
        <f t="shared" si="18"/>
        <v>0</v>
      </c>
      <c r="AJ15">
        <f t="shared" si="18"/>
        <v>1</v>
      </c>
      <c r="AK15">
        <f t="shared" si="18"/>
        <v>1</v>
      </c>
      <c r="AL15">
        <f t="shared" si="18"/>
        <v>1</v>
      </c>
      <c r="AM15">
        <f t="shared" si="18"/>
        <v>1</v>
      </c>
      <c r="AN15">
        <f t="shared" si="18"/>
        <v>0</v>
      </c>
      <c r="AO15">
        <f t="shared" si="18"/>
        <v>0</v>
      </c>
      <c r="AP15">
        <f t="shared" si="18"/>
        <v>0</v>
      </c>
      <c r="AR15">
        <f>Z18</f>
        <v>0</v>
      </c>
      <c r="AS15">
        <f>IF(AND(AA15 = AA16, NOT(AA16 = AA18)), 1, 0)</f>
        <v>1</v>
      </c>
      <c r="AT15">
        <f>IF(Z21 = 0,1,0)</f>
        <v>0</v>
      </c>
      <c r="AU15">
        <f>IF(AM14+AM15+AM16 &gt; 1, 1, 0)</f>
        <v>0</v>
      </c>
      <c r="AV15">
        <f>IF(AA18,0,1)</f>
        <v>0</v>
      </c>
      <c r="AW15">
        <f>IF(MOD(SUM(AM18:AP18),2) = 0, 1,0)</f>
        <v>1</v>
      </c>
    </row>
    <row r="16" spans="1:53" ht="14" x14ac:dyDescent="0.3">
      <c r="A16" t="s">
        <v>49</v>
      </c>
      <c r="B16" t="s">
        <v>50</v>
      </c>
      <c r="C16">
        <f t="shared" si="10"/>
        <v>-2886</v>
      </c>
      <c r="E16" s="4" t="s">
        <v>51</v>
      </c>
      <c r="F16" s="2" t="s">
        <v>92</v>
      </c>
      <c r="G16">
        <f t="shared" ref="G16:U16" si="19">MOD(NOT(G10)+H24,2)</f>
        <v>1</v>
      </c>
      <c r="H16">
        <f t="shared" si="19"/>
        <v>1</v>
      </c>
      <c r="I16">
        <f t="shared" si="19"/>
        <v>1</v>
      </c>
      <c r="J16">
        <f t="shared" si="19"/>
        <v>1</v>
      </c>
      <c r="K16">
        <f t="shared" si="19"/>
        <v>0</v>
      </c>
      <c r="L16">
        <f t="shared" si="19"/>
        <v>1</v>
      </c>
      <c r="M16">
        <f t="shared" si="19"/>
        <v>0</v>
      </c>
      <c r="N16">
        <f t="shared" si="19"/>
        <v>0</v>
      </c>
      <c r="O16">
        <f t="shared" si="19"/>
        <v>1</v>
      </c>
      <c r="P16">
        <f t="shared" si="19"/>
        <v>0</v>
      </c>
      <c r="Q16">
        <f t="shared" si="19"/>
        <v>1</v>
      </c>
      <c r="R16">
        <f t="shared" si="19"/>
        <v>1</v>
      </c>
      <c r="S16">
        <f t="shared" si="19"/>
        <v>1</v>
      </c>
      <c r="T16">
        <f t="shared" si="19"/>
        <v>0</v>
      </c>
      <c r="U16">
        <f t="shared" si="19"/>
        <v>1</v>
      </c>
      <c r="V16">
        <f t="shared" si="12"/>
        <v>0</v>
      </c>
      <c r="Y16" t="str">
        <f>E7</f>
        <v xml:space="preserve">B3 = </v>
      </c>
      <c r="AA16">
        <f t="shared" si="18"/>
        <v>0</v>
      </c>
      <c r="AB16">
        <f t="shared" si="18"/>
        <v>1</v>
      </c>
      <c r="AC16">
        <f t="shared" si="18"/>
        <v>1</v>
      </c>
      <c r="AD16">
        <f t="shared" si="18"/>
        <v>1</v>
      </c>
      <c r="AE16">
        <f t="shared" si="18"/>
        <v>1</v>
      </c>
      <c r="AF16">
        <f t="shared" si="18"/>
        <v>1</v>
      </c>
      <c r="AG16">
        <f t="shared" si="18"/>
        <v>0</v>
      </c>
      <c r="AH16">
        <f t="shared" si="18"/>
        <v>1</v>
      </c>
      <c r="AI16">
        <f t="shared" si="18"/>
        <v>0</v>
      </c>
      <c r="AJ16">
        <f t="shared" si="18"/>
        <v>1</v>
      </c>
      <c r="AK16">
        <f t="shared" si="18"/>
        <v>0</v>
      </c>
      <c r="AL16">
        <f t="shared" si="18"/>
        <v>0</v>
      </c>
      <c r="AM16">
        <f t="shared" si="18"/>
        <v>0</v>
      </c>
      <c r="AN16">
        <f t="shared" si="18"/>
        <v>0</v>
      </c>
      <c r="AO16">
        <f t="shared" si="18"/>
        <v>1</v>
      </c>
      <c r="AP16">
        <f t="shared" si="18"/>
        <v>0</v>
      </c>
    </row>
    <row r="17" spans="7:50" ht="14" x14ac:dyDescent="0.3">
      <c r="Y17" t="s">
        <v>19</v>
      </c>
      <c r="Z17" t="s">
        <v>20</v>
      </c>
      <c r="AA17" t="s">
        <v>21</v>
      </c>
      <c r="AB17" t="s">
        <v>21</v>
      </c>
      <c r="AC17" t="s">
        <v>21</v>
      </c>
      <c r="AD17" t="s">
        <v>21</v>
      </c>
      <c r="AE17" t="s">
        <v>21</v>
      </c>
      <c r="AF17" t="s">
        <v>21</v>
      </c>
      <c r="AG17" t="s">
        <v>21</v>
      </c>
      <c r="AH17" t="s">
        <v>21</v>
      </c>
      <c r="AI17" t="s">
        <v>21</v>
      </c>
      <c r="AJ17" t="s">
        <v>21</v>
      </c>
      <c r="AK17" t="s">
        <v>21</v>
      </c>
      <c r="AL17" t="s">
        <v>21</v>
      </c>
      <c r="AM17" t="s">
        <v>21</v>
      </c>
      <c r="AN17" t="s">
        <v>21</v>
      </c>
      <c r="AO17" t="s">
        <v>21</v>
      </c>
      <c r="AP17" t="s">
        <v>21</v>
      </c>
      <c r="AR17" s="3" t="str">
        <f>"при сумме "&amp;IF(AA15=AA16,IF(AA15,"отрицательных","положительных"),"")&amp;CHAR(10)&amp;"чисел "&amp;" получено "&amp;IF(AA18,"отрицательное","положительное")&amp;"  число."&amp;CHAR(10)&amp;IF(NOT(AR15),"Не происходит перноса","Происходит перенос")&amp;CHAR(10)&amp;"и "&amp;IF(NOT(AS15),"не происходит переполнения","происходит переполнение")&amp;"."&amp;CHAR(10)&amp;"Выражение вычислено "&amp;IF(Y21=Z21,"корректно","некорректно")</f>
        <v>при сумме положительных
чисел  получено отрицательное  число.
Не происходит перноса
и происходит переполнение.
Выражение вычислено некорректно</v>
      </c>
      <c r="AS17" s="3"/>
      <c r="AT17" s="3"/>
      <c r="AU17" s="3"/>
      <c r="AV17" s="3"/>
      <c r="AW17" s="3"/>
      <c r="AX17" s="3"/>
    </row>
    <row r="18" spans="7:50" ht="14" x14ac:dyDescent="0.3">
      <c r="Y18" t="s">
        <v>52</v>
      </c>
      <c r="Z18">
        <f>IF(AA14+AA15+AA16 &gt; 1, 1, 0)</f>
        <v>0</v>
      </c>
      <c r="AA18">
        <f t="shared" ref="AA18:AO18" si="20">MOD(AA14+AA15+AA16,2)</f>
        <v>1</v>
      </c>
      <c r="AB18">
        <f t="shared" si="20"/>
        <v>1</v>
      </c>
      <c r="AC18">
        <f t="shared" si="20"/>
        <v>1</v>
      </c>
      <c r="AD18">
        <f t="shared" si="20"/>
        <v>1</v>
      </c>
      <c r="AE18">
        <f t="shared" si="20"/>
        <v>0</v>
      </c>
      <c r="AF18">
        <f t="shared" si="20"/>
        <v>1</v>
      </c>
      <c r="AG18">
        <f t="shared" si="20"/>
        <v>0</v>
      </c>
      <c r="AH18">
        <f t="shared" si="20"/>
        <v>0</v>
      </c>
      <c r="AI18">
        <f t="shared" si="20"/>
        <v>1</v>
      </c>
      <c r="AJ18">
        <f t="shared" si="20"/>
        <v>0</v>
      </c>
      <c r="AK18">
        <f t="shared" si="20"/>
        <v>1</v>
      </c>
      <c r="AL18">
        <f t="shared" si="20"/>
        <v>1</v>
      </c>
      <c r="AM18">
        <f t="shared" si="20"/>
        <v>1</v>
      </c>
      <c r="AN18">
        <f t="shared" si="20"/>
        <v>0</v>
      </c>
      <c r="AO18">
        <f t="shared" si="20"/>
        <v>1</v>
      </c>
      <c r="AP18">
        <f>MOD(AP15+AP16,2)</f>
        <v>0</v>
      </c>
      <c r="AR18" s="3"/>
      <c r="AS18" s="3"/>
      <c r="AT18" s="3"/>
      <c r="AU18" s="3"/>
      <c r="AV18" s="3"/>
      <c r="AW18" s="3"/>
      <c r="AX18" s="3"/>
    </row>
    <row r="19" spans="7:50" ht="14" x14ac:dyDescent="0.3">
      <c r="G19" t="b">
        <f t="shared" ref="G19:U19" si="21">IF(NOT(G5) + H19&gt; 1,TRUE())</f>
        <v>0</v>
      </c>
      <c r="H19" t="b">
        <f t="shared" si="21"/>
        <v>0</v>
      </c>
      <c r="I19" t="b">
        <f t="shared" si="21"/>
        <v>0</v>
      </c>
      <c r="J19" t="b">
        <f t="shared" si="21"/>
        <v>0</v>
      </c>
      <c r="K19" t="b">
        <f t="shared" si="21"/>
        <v>0</v>
      </c>
      <c r="L19" t="b">
        <f t="shared" si="21"/>
        <v>0</v>
      </c>
      <c r="M19" t="b">
        <f t="shared" si="21"/>
        <v>0</v>
      </c>
      <c r="N19" t="b">
        <f t="shared" si="21"/>
        <v>0</v>
      </c>
      <c r="O19" t="b">
        <f t="shared" si="21"/>
        <v>0</v>
      </c>
      <c r="P19" t="b">
        <f t="shared" si="21"/>
        <v>0</v>
      </c>
      <c r="Q19" t="b">
        <f t="shared" si="21"/>
        <v>0</v>
      </c>
      <c r="R19" t="b">
        <f t="shared" si="21"/>
        <v>0</v>
      </c>
      <c r="S19" t="b">
        <f t="shared" si="21"/>
        <v>0</v>
      </c>
      <c r="T19" t="b">
        <f t="shared" si="21"/>
        <v>0</v>
      </c>
      <c r="U19" t="b">
        <f t="shared" si="21"/>
        <v>0</v>
      </c>
      <c r="V19" t="b">
        <f t="shared" ref="V19:V24" si="22">IF(NOT(V5) +1 &gt; 1,TRUE())</f>
        <v>1</v>
      </c>
      <c r="AA19">
        <f t="shared" ref="AA19:AN19" si="23">MOD(NOT(AA18) + IF(AND(NOT(AB18), NOT(AB19)),1,0),2)</f>
        <v>0</v>
      </c>
      <c r="AB19">
        <f t="shared" si="23"/>
        <v>0</v>
      </c>
      <c r="AC19">
        <f t="shared" si="23"/>
        <v>0</v>
      </c>
      <c r="AD19">
        <f t="shared" si="23"/>
        <v>0</v>
      </c>
      <c r="AE19">
        <f t="shared" si="23"/>
        <v>1</v>
      </c>
      <c r="AF19">
        <f t="shared" si="23"/>
        <v>0</v>
      </c>
      <c r="AG19">
        <f t="shared" si="23"/>
        <v>1</v>
      </c>
      <c r="AH19">
        <f t="shared" si="23"/>
        <v>1</v>
      </c>
      <c r="AI19">
        <f t="shared" si="23"/>
        <v>0</v>
      </c>
      <c r="AJ19">
        <f t="shared" si="23"/>
        <v>1</v>
      </c>
      <c r="AK19">
        <f t="shared" si="23"/>
        <v>0</v>
      </c>
      <c r="AL19">
        <f t="shared" si="23"/>
        <v>0</v>
      </c>
      <c r="AM19">
        <f t="shared" si="23"/>
        <v>0</v>
      </c>
      <c r="AN19">
        <f t="shared" si="23"/>
        <v>1</v>
      </c>
      <c r="AO19">
        <f>MOD(NOT(AO18)+IF(NOT(AP18)+1 &gt; 1, 1, 0), 2)</f>
        <v>1</v>
      </c>
      <c r="AP19">
        <f>MOD(NOT(AP18) + 1, 2)</f>
        <v>0</v>
      </c>
      <c r="AR19" s="3"/>
      <c r="AS19" s="3"/>
      <c r="AT19" s="3"/>
      <c r="AU19" s="3"/>
      <c r="AV19" s="3"/>
      <c r="AW19" s="3"/>
      <c r="AX19" s="3"/>
    </row>
    <row r="20" spans="7:50" ht="14" x14ac:dyDescent="0.3">
      <c r="G20" t="b">
        <f t="shared" ref="G20:U20" si="24">IF(NOT(G6) + H20&gt; 1,TRUE())</f>
        <v>0</v>
      </c>
      <c r="H20" t="b">
        <f t="shared" si="24"/>
        <v>0</v>
      </c>
      <c r="I20" t="b">
        <f t="shared" si="24"/>
        <v>0</v>
      </c>
      <c r="J20" t="b">
        <f t="shared" si="24"/>
        <v>0</v>
      </c>
      <c r="K20" t="b">
        <f t="shared" si="24"/>
        <v>0</v>
      </c>
      <c r="L20" t="b">
        <f t="shared" si="24"/>
        <v>0</v>
      </c>
      <c r="M20" t="b">
        <f t="shared" si="24"/>
        <v>0</v>
      </c>
      <c r="N20" t="b">
        <f t="shared" si="24"/>
        <v>0</v>
      </c>
      <c r="O20" t="b">
        <f t="shared" si="24"/>
        <v>0</v>
      </c>
      <c r="P20" t="b">
        <f t="shared" si="24"/>
        <v>0</v>
      </c>
      <c r="Q20" t="b">
        <f t="shared" si="24"/>
        <v>0</v>
      </c>
      <c r="R20" t="b">
        <f t="shared" si="24"/>
        <v>0</v>
      </c>
      <c r="S20" t="b">
        <f t="shared" si="24"/>
        <v>0</v>
      </c>
      <c r="T20" t="b">
        <f t="shared" si="24"/>
        <v>1</v>
      </c>
      <c r="U20" t="b">
        <f t="shared" si="24"/>
        <v>1</v>
      </c>
      <c r="V20" t="b">
        <f t="shared" si="22"/>
        <v>1</v>
      </c>
      <c r="Y20" t="s">
        <v>53</v>
      </c>
      <c r="AA20" s="3" t="str">
        <f>IF(NOT(AA18), BIN2HEX($AA18&amp;$AB18&amp;$AC18&amp;AD18), BIN2HEX($AA19&amp;$AB19&amp;$AC19&amp;AD19))</f>
        <v>0</v>
      </c>
      <c r="AB20" s="3"/>
      <c r="AC20" s="3"/>
      <c r="AD20" s="3"/>
      <c r="AE20" s="3" t="str">
        <f>IF(NOT(AA18),BIN2HEX($AE18&amp;$AF18&amp;$AG18&amp;$AH18),BIN2HEX($AE19&amp;$AF19&amp;$AG19&amp;$AH19))</f>
        <v>B</v>
      </c>
      <c r="AF20" s="3"/>
      <c r="AG20" s="3"/>
      <c r="AH20" s="3"/>
      <c r="AI20" s="3" t="str">
        <f>IF(NOT(AA18),BIN2HEX($AI18&amp;$AJ18&amp;$AK18&amp;$AL18), BIN2HEX($AI19&amp;$AJ19&amp;$AK19&amp;$AL19))</f>
        <v>4</v>
      </c>
      <c r="AJ20" s="3"/>
      <c r="AK20" s="3"/>
      <c r="AL20" s="3"/>
      <c r="AM20" s="3" t="str">
        <f>IF(NOT(AA18),BIN2HEX($AM18&amp;$AN18&amp;$AO18&amp;$AP18), BIN2HEX($AM19&amp;$AN19&amp;$AO19&amp;$AP19))</f>
        <v>6</v>
      </c>
      <c r="AN20" s="3"/>
      <c r="AO20" s="3"/>
      <c r="AP20" s="3"/>
      <c r="AR20" s="3"/>
      <c r="AS20" s="3"/>
      <c r="AT20" s="3"/>
      <c r="AU20" s="3"/>
      <c r="AV20" s="3"/>
      <c r="AW20" s="3"/>
      <c r="AX20" s="3"/>
    </row>
    <row r="21" spans="7:50" ht="14" x14ac:dyDescent="0.3">
      <c r="G21" t="b">
        <f t="shared" ref="G21:U21" si="25">IF(NOT(G7) + H21&gt; 1,TRUE())</f>
        <v>0</v>
      </c>
      <c r="H21" t="b">
        <f t="shared" si="25"/>
        <v>0</v>
      </c>
      <c r="I21" t="b">
        <f t="shared" si="25"/>
        <v>0</v>
      </c>
      <c r="J21" t="b">
        <f t="shared" si="25"/>
        <v>0</v>
      </c>
      <c r="K21" t="b">
        <f t="shared" si="25"/>
        <v>0</v>
      </c>
      <c r="L21" t="b">
        <f t="shared" si="25"/>
        <v>0</v>
      </c>
      <c r="M21" t="b">
        <f t="shared" si="25"/>
        <v>0</v>
      </c>
      <c r="N21" t="b">
        <f t="shared" si="25"/>
        <v>0</v>
      </c>
      <c r="O21" t="b">
        <f t="shared" si="25"/>
        <v>0</v>
      </c>
      <c r="P21" t="b">
        <f t="shared" si="25"/>
        <v>0</v>
      </c>
      <c r="Q21" t="b">
        <f t="shared" si="25"/>
        <v>0</v>
      </c>
      <c r="R21" t="b">
        <f t="shared" si="25"/>
        <v>0</v>
      </c>
      <c r="S21" t="b">
        <f t="shared" si="25"/>
        <v>0</v>
      </c>
      <c r="T21" t="b">
        <f t="shared" si="25"/>
        <v>0</v>
      </c>
      <c r="U21" t="b">
        <f t="shared" si="25"/>
        <v>0</v>
      </c>
      <c r="V21" t="b">
        <f t="shared" si="22"/>
        <v>1</v>
      </c>
      <c r="Y21">
        <f>C6+C7</f>
        <v>62650</v>
      </c>
      <c r="Z21" s="3">
        <f>IF(NOT(AA18), 1, -1) * HEX2DEC(AA20&amp;AE20&amp;AI20&amp;AM20)</f>
        <v>-2886</v>
      </c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R21" s="3"/>
      <c r="AS21" s="3"/>
      <c r="AT21" s="3"/>
      <c r="AU21" s="3"/>
      <c r="AV21" s="3"/>
      <c r="AW21" s="3"/>
      <c r="AX21" s="3"/>
    </row>
    <row r="22" spans="7:50" ht="14" x14ac:dyDescent="0.3">
      <c r="G22" t="b">
        <f t="shared" ref="G22:U22" si="26">IF(NOT(G8) + H22&gt; 1,TRUE())</f>
        <v>0</v>
      </c>
      <c r="H22" t="b">
        <f t="shared" si="26"/>
        <v>0</v>
      </c>
      <c r="I22" t="b">
        <f t="shared" si="26"/>
        <v>0</v>
      </c>
      <c r="J22" t="b">
        <f t="shared" si="26"/>
        <v>0</v>
      </c>
      <c r="K22" t="b">
        <f t="shared" si="26"/>
        <v>0</v>
      </c>
      <c r="L22" t="b">
        <f t="shared" si="26"/>
        <v>0</v>
      </c>
      <c r="M22" t="b">
        <f t="shared" si="26"/>
        <v>0</v>
      </c>
      <c r="N22" t="b">
        <f t="shared" si="26"/>
        <v>0</v>
      </c>
      <c r="O22" t="b">
        <f t="shared" si="26"/>
        <v>0</v>
      </c>
      <c r="P22" t="b">
        <f t="shared" si="26"/>
        <v>0</v>
      </c>
      <c r="Q22" t="b">
        <f t="shared" si="26"/>
        <v>0</v>
      </c>
      <c r="R22" t="b">
        <f t="shared" si="26"/>
        <v>0</v>
      </c>
      <c r="S22" t="b">
        <f t="shared" si="26"/>
        <v>0</v>
      </c>
      <c r="T22" t="b">
        <f t="shared" si="26"/>
        <v>0</v>
      </c>
      <c r="U22" t="b">
        <f t="shared" si="26"/>
        <v>0</v>
      </c>
      <c r="V22" t="b">
        <f t="shared" si="22"/>
        <v>1</v>
      </c>
    </row>
    <row r="23" spans="7:50" ht="14" x14ac:dyDescent="0.3">
      <c r="G23" t="b">
        <f t="shared" ref="G23:U23" si="27">IF(NOT(G9) + H23&gt; 1,TRUE())</f>
        <v>0</v>
      </c>
      <c r="H23" t="b">
        <f t="shared" si="27"/>
        <v>0</v>
      </c>
      <c r="I23" t="b">
        <f t="shared" si="27"/>
        <v>0</v>
      </c>
      <c r="J23" t="b">
        <f t="shared" si="27"/>
        <v>0</v>
      </c>
      <c r="K23" t="b">
        <f t="shared" si="27"/>
        <v>0</v>
      </c>
      <c r="L23" t="b">
        <f t="shared" si="27"/>
        <v>0</v>
      </c>
      <c r="M23" t="b">
        <f t="shared" si="27"/>
        <v>0</v>
      </c>
      <c r="N23" t="b">
        <f t="shared" si="27"/>
        <v>0</v>
      </c>
      <c r="O23" t="b">
        <f t="shared" si="27"/>
        <v>0</v>
      </c>
      <c r="P23" t="b">
        <f t="shared" si="27"/>
        <v>0</v>
      </c>
      <c r="Q23" t="b">
        <f t="shared" si="27"/>
        <v>0</v>
      </c>
      <c r="R23" t="b">
        <f t="shared" si="27"/>
        <v>0</v>
      </c>
      <c r="S23" t="b">
        <f t="shared" si="27"/>
        <v>0</v>
      </c>
      <c r="T23" t="b">
        <f t="shared" si="27"/>
        <v>0</v>
      </c>
      <c r="U23" t="b">
        <f t="shared" si="27"/>
        <v>0</v>
      </c>
      <c r="V23" t="b">
        <f t="shared" si="22"/>
        <v>1</v>
      </c>
    </row>
    <row r="24" spans="7:50" ht="14" x14ac:dyDescent="0.3">
      <c r="G24" t="b">
        <f t="shared" ref="G24:U24" si="28">IF(NOT(G10) + H24&gt; 1,TRUE())</f>
        <v>0</v>
      </c>
      <c r="H24" t="b">
        <f t="shared" si="28"/>
        <v>0</v>
      </c>
      <c r="I24" t="b">
        <f t="shared" si="28"/>
        <v>0</v>
      </c>
      <c r="J24" t="b">
        <f t="shared" si="28"/>
        <v>0</v>
      </c>
      <c r="K24" t="b">
        <f t="shared" si="28"/>
        <v>0</v>
      </c>
      <c r="L24" t="b">
        <f t="shared" si="28"/>
        <v>0</v>
      </c>
      <c r="M24" t="b">
        <f t="shared" si="28"/>
        <v>0</v>
      </c>
      <c r="N24" t="b">
        <f t="shared" si="28"/>
        <v>0</v>
      </c>
      <c r="O24" t="b">
        <f t="shared" si="28"/>
        <v>0</v>
      </c>
      <c r="P24" t="b">
        <f t="shared" si="28"/>
        <v>0</v>
      </c>
      <c r="Q24" t="b">
        <f t="shared" si="28"/>
        <v>0</v>
      </c>
      <c r="R24" t="b">
        <f t="shared" si="28"/>
        <v>0</v>
      </c>
      <c r="S24" t="b">
        <f t="shared" si="28"/>
        <v>0</v>
      </c>
      <c r="T24" t="b">
        <f t="shared" si="28"/>
        <v>0</v>
      </c>
      <c r="U24" t="b">
        <f t="shared" si="28"/>
        <v>0</v>
      </c>
      <c r="V24" t="b">
        <f t="shared" si="22"/>
        <v>1</v>
      </c>
      <c r="AA24" t="b">
        <f t="shared" ref="AA24:AN24" si="29">IF(AB25+AB26+AB24 &gt; 1,TRUE())</f>
        <v>1</v>
      </c>
      <c r="AB24" t="b">
        <f t="shared" si="29"/>
        <v>1</v>
      </c>
      <c r="AC24" t="b">
        <f t="shared" si="29"/>
        <v>1</v>
      </c>
      <c r="AD24" t="b">
        <f t="shared" si="29"/>
        <v>1</v>
      </c>
      <c r="AE24" t="b">
        <f t="shared" si="29"/>
        <v>1</v>
      </c>
      <c r="AF24" t="b">
        <f t="shared" si="29"/>
        <v>1</v>
      </c>
      <c r="AG24" t="b">
        <f t="shared" si="29"/>
        <v>0</v>
      </c>
      <c r="AH24" t="b">
        <f t="shared" si="29"/>
        <v>0</v>
      </c>
      <c r="AI24" t="b">
        <f t="shared" si="29"/>
        <v>1</v>
      </c>
      <c r="AJ24" t="b">
        <f t="shared" si="29"/>
        <v>1</v>
      </c>
      <c r="AK24" t="b">
        <f t="shared" si="29"/>
        <v>1</v>
      </c>
      <c r="AL24" t="b">
        <f t="shared" si="29"/>
        <v>0</v>
      </c>
      <c r="AM24" t="b">
        <f t="shared" si="29"/>
        <v>0</v>
      </c>
      <c r="AN24" t="b">
        <f t="shared" si="29"/>
        <v>0</v>
      </c>
      <c r="AO24" t="b">
        <f>IF(AP25+AP26 &gt; 1,TRUE())</f>
        <v>0</v>
      </c>
      <c r="AR24" t="s">
        <v>4</v>
      </c>
      <c r="AS24" t="s">
        <v>5</v>
      </c>
      <c r="AT24" t="s">
        <v>6</v>
      </c>
      <c r="AU24" t="s">
        <v>7</v>
      </c>
      <c r="AV24" t="s">
        <v>8</v>
      </c>
      <c r="AW24" t="s">
        <v>9</v>
      </c>
    </row>
    <row r="25" spans="7:50" ht="14" x14ac:dyDescent="0.3">
      <c r="Y25" t="str">
        <f>E6</f>
        <v xml:space="preserve">B2 = </v>
      </c>
      <c r="AA25">
        <v>0</v>
      </c>
      <c r="AB25">
        <v>1</v>
      </c>
      <c r="AC25">
        <v>1</v>
      </c>
      <c r="AD25">
        <v>1</v>
      </c>
      <c r="AE25">
        <v>0</v>
      </c>
      <c r="AF25">
        <v>1</v>
      </c>
      <c r="AG25">
        <v>1</v>
      </c>
      <c r="AH25">
        <v>1</v>
      </c>
      <c r="AI25">
        <v>0</v>
      </c>
      <c r="AJ25">
        <v>1</v>
      </c>
      <c r="AK25">
        <v>1</v>
      </c>
      <c r="AL25">
        <v>1</v>
      </c>
      <c r="AM25">
        <v>1</v>
      </c>
      <c r="AN25">
        <v>0</v>
      </c>
      <c r="AO25">
        <v>0</v>
      </c>
      <c r="AP25">
        <v>0</v>
      </c>
      <c r="AR25">
        <f>Z28</f>
        <v>1</v>
      </c>
      <c r="AS25">
        <f>IF(AND(AA25 = AA26, NOT(AA26 = AA28)), 1, 0)</f>
        <v>0</v>
      </c>
      <c r="AT25">
        <f>IF(Z31 = 0,1,0)</f>
        <v>0</v>
      </c>
      <c r="AU25">
        <f>IF(AM24+AM25+AM26 &gt; 1, 1, 0)</f>
        <v>0</v>
      </c>
      <c r="AV25">
        <f>IF(AA28,0,1)</f>
        <v>0</v>
      </c>
      <c r="AW25">
        <f>IF(MOD(SUM(AM28:AP28),2) = 0, 1,0)</f>
        <v>0</v>
      </c>
    </row>
    <row r="26" spans="7:50" ht="14" x14ac:dyDescent="0.3">
      <c r="Y26" t="str">
        <f>E11</f>
        <v xml:space="preserve">B7 = 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1</v>
      </c>
      <c r="AL26">
        <v>1</v>
      </c>
      <c r="AM26">
        <v>0</v>
      </c>
      <c r="AN26">
        <v>1</v>
      </c>
      <c r="AO26">
        <v>1</v>
      </c>
      <c r="AP26">
        <v>0</v>
      </c>
    </row>
    <row r="27" spans="7:50" ht="14" x14ac:dyDescent="0.3">
      <c r="G27">
        <v>15</v>
      </c>
      <c r="H27">
        <v>14</v>
      </c>
      <c r="I27">
        <v>13</v>
      </c>
      <c r="J27">
        <v>12</v>
      </c>
      <c r="K27">
        <v>11</v>
      </c>
      <c r="L27">
        <v>10</v>
      </c>
      <c r="M27">
        <v>9</v>
      </c>
      <c r="N27">
        <v>8</v>
      </c>
      <c r="O27">
        <v>7</v>
      </c>
      <c r="P27">
        <v>6</v>
      </c>
      <c r="Q27">
        <v>5</v>
      </c>
      <c r="R27">
        <v>4</v>
      </c>
      <c r="S27">
        <v>3</v>
      </c>
      <c r="T27">
        <v>2</v>
      </c>
      <c r="U27">
        <v>1</v>
      </c>
      <c r="V27">
        <v>0</v>
      </c>
      <c r="Y27" t="s">
        <v>19</v>
      </c>
      <c r="Z27" t="s">
        <v>20</v>
      </c>
      <c r="AA27" t="s">
        <v>21</v>
      </c>
      <c r="AB27" t="s">
        <v>21</v>
      </c>
      <c r="AC27" t="s">
        <v>21</v>
      </c>
      <c r="AD27" t="s">
        <v>21</v>
      </c>
      <c r="AE27" t="s">
        <v>21</v>
      </c>
      <c r="AF27" t="s">
        <v>21</v>
      </c>
      <c r="AG27" t="s">
        <v>21</v>
      </c>
      <c r="AH27" t="s">
        <v>21</v>
      </c>
      <c r="AI27" t="s">
        <v>21</v>
      </c>
      <c r="AJ27" t="s">
        <v>21</v>
      </c>
      <c r="AK27" t="s">
        <v>21</v>
      </c>
      <c r="AL27" t="s">
        <v>21</v>
      </c>
      <c r="AM27" t="s">
        <v>21</v>
      </c>
      <c r="AN27" t="s">
        <v>21</v>
      </c>
      <c r="AO27" t="s">
        <v>21</v>
      </c>
      <c r="AP27" t="s">
        <v>21</v>
      </c>
      <c r="AR27" s="3" t="str">
        <f>"при сумме "&amp;IF(AA25=AA26,IF(AA25,"отрицательных","положительных"),"")&amp;CHAR(10)&amp;"чисел "&amp;" получено "&amp;IF(AA28,"отрицательное","положительное")&amp;"  число."&amp;CHAR(10)&amp;IF(NOT(AR25),"Не происходит перноса","Происходит перенос")&amp;CHAR(10)&amp;"и "&amp;IF(NOT(AS25),"не происходит переполнения","происходит переполнение")&amp;"."&amp;CHAR(10)&amp;"Выражение вычислено "&amp;IF(Y31=Z31,"корректно","некорректно")</f>
        <v>при сумме 
чисел  получено отрицательное  число.
Происходит перенос
и не происходит переполнения.
Выражение вычислено некорректно</v>
      </c>
      <c r="AS27" s="3"/>
      <c r="AT27" s="3"/>
      <c r="AU27" s="3"/>
      <c r="AV27" s="3"/>
      <c r="AW27" s="3"/>
      <c r="AX27" s="3"/>
    </row>
    <row r="28" spans="7:50" ht="14" x14ac:dyDescent="0.3">
      <c r="G28">
        <f t="shared" ref="G28:V28" si="30">POWER(2,G27)</f>
        <v>32768</v>
      </c>
      <c r="H28">
        <f t="shared" si="30"/>
        <v>16384</v>
      </c>
      <c r="I28">
        <f t="shared" si="30"/>
        <v>8192</v>
      </c>
      <c r="J28">
        <f t="shared" si="30"/>
        <v>4096</v>
      </c>
      <c r="K28">
        <f t="shared" si="30"/>
        <v>2048</v>
      </c>
      <c r="L28">
        <f t="shared" si="30"/>
        <v>1024</v>
      </c>
      <c r="M28">
        <f t="shared" si="30"/>
        <v>512</v>
      </c>
      <c r="N28">
        <f t="shared" si="30"/>
        <v>256</v>
      </c>
      <c r="O28">
        <f t="shared" si="30"/>
        <v>128</v>
      </c>
      <c r="P28">
        <f t="shared" si="30"/>
        <v>64</v>
      </c>
      <c r="Q28">
        <f t="shared" si="30"/>
        <v>32</v>
      </c>
      <c r="R28">
        <f t="shared" si="30"/>
        <v>16</v>
      </c>
      <c r="S28">
        <f t="shared" si="30"/>
        <v>8</v>
      </c>
      <c r="T28">
        <f t="shared" si="30"/>
        <v>4</v>
      </c>
      <c r="U28">
        <f t="shared" si="30"/>
        <v>2</v>
      </c>
      <c r="V28">
        <f t="shared" si="30"/>
        <v>1</v>
      </c>
      <c r="Y28" t="s">
        <v>54</v>
      </c>
      <c r="Z28">
        <f>IF(AA24+AA25+AA26 &gt; 1, 1, 0)</f>
        <v>1</v>
      </c>
      <c r="AA28">
        <f t="shared" ref="AA28:AP28" si="31">MOD(AA25+AA26,2)</f>
        <v>1</v>
      </c>
      <c r="AB28">
        <f t="shared" si="31"/>
        <v>0</v>
      </c>
      <c r="AC28">
        <f t="shared" si="31"/>
        <v>0</v>
      </c>
      <c r="AD28">
        <f t="shared" si="31"/>
        <v>0</v>
      </c>
      <c r="AE28">
        <f t="shared" si="31"/>
        <v>1</v>
      </c>
      <c r="AF28">
        <f t="shared" si="31"/>
        <v>1</v>
      </c>
      <c r="AG28">
        <f t="shared" si="31"/>
        <v>0</v>
      </c>
      <c r="AH28">
        <f t="shared" si="31"/>
        <v>1</v>
      </c>
      <c r="AI28">
        <f t="shared" si="31"/>
        <v>0</v>
      </c>
      <c r="AJ28">
        <f t="shared" si="31"/>
        <v>1</v>
      </c>
      <c r="AK28">
        <f t="shared" si="31"/>
        <v>0</v>
      </c>
      <c r="AL28">
        <f t="shared" si="31"/>
        <v>0</v>
      </c>
      <c r="AM28">
        <f t="shared" si="31"/>
        <v>1</v>
      </c>
      <c r="AN28">
        <f t="shared" si="31"/>
        <v>1</v>
      </c>
      <c r="AO28">
        <f t="shared" si="31"/>
        <v>1</v>
      </c>
      <c r="AP28">
        <f t="shared" si="31"/>
        <v>0</v>
      </c>
      <c r="AR28" s="3"/>
      <c r="AS28" s="3"/>
      <c r="AT28" s="3"/>
      <c r="AU28" s="3"/>
      <c r="AV28" s="3"/>
      <c r="AW28" s="3"/>
      <c r="AX28" s="3"/>
    </row>
    <row r="29" spans="7:50" ht="14" x14ac:dyDescent="0.3">
      <c r="G29">
        <f t="shared" ref="G29:V29" si="32">MOD(ROUNDDOWN(ABS($C5) / G$28,0),2)</f>
        <v>0</v>
      </c>
      <c r="H29">
        <f t="shared" si="32"/>
        <v>0</v>
      </c>
      <c r="I29">
        <f t="shared" si="32"/>
        <v>0</v>
      </c>
      <c r="J29">
        <f t="shared" si="32"/>
        <v>0</v>
      </c>
      <c r="K29">
        <f t="shared" si="32"/>
        <v>0</v>
      </c>
      <c r="L29">
        <f t="shared" si="32"/>
        <v>1</v>
      </c>
      <c r="M29">
        <f t="shared" si="32"/>
        <v>0</v>
      </c>
      <c r="N29">
        <f t="shared" si="32"/>
        <v>1</v>
      </c>
      <c r="O29">
        <f t="shared" si="32"/>
        <v>1</v>
      </c>
      <c r="P29">
        <f t="shared" si="32"/>
        <v>1</v>
      </c>
      <c r="Q29">
        <f t="shared" si="32"/>
        <v>0</v>
      </c>
      <c r="R29">
        <f t="shared" si="32"/>
        <v>0</v>
      </c>
      <c r="S29">
        <f t="shared" si="32"/>
        <v>1</v>
      </c>
      <c r="T29">
        <f t="shared" si="32"/>
        <v>0</v>
      </c>
      <c r="U29">
        <f t="shared" si="32"/>
        <v>1</v>
      </c>
      <c r="V29">
        <f t="shared" si="32"/>
        <v>0</v>
      </c>
      <c r="AA29">
        <f t="shared" ref="AA29:AN29" si="33">MOD(NOT(AA28) + IF(AND(NOT(AB28), NOT(AB29)),1,0),2)</f>
        <v>0</v>
      </c>
      <c r="AB29">
        <f t="shared" si="33"/>
        <v>1</v>
      </c>
      <c r="AC29">
        <f t="shared" si="33"/>
        <v>1</v>
      </c>
      <c r="AD29">
        <f t="shared" si="33"/>
        <v>1</v>
      </c>
      <c r="AE29">
        <f t="shared" si="33"/>
        <v>0</v>
      </c>
      <c r="AF29">
        <f t="shared" si="33"/>
        <v>0</v>
      </c>
      <c r="AG29">
        <f t="shared" si="33"/>
        <v>1</v>
      </c>
      <c r="AH29">
        <f t="shared" si="33"/>
        <v>0</v>
      </c>
      <c r="AI29">
        <f t="shared" si="33"/>
        <v>1</v>
      </c>
      <c r="AJ29">
        <f t="shared" si="33"/>
        <v>0</v>
      </c>
      <c r="AK29">
        <f t="shared" si="33"/>
        <v>1</v>
      </c>
      <c r="AL29">
        <f t="shared" si="33"/>
        <v>1</v>
      </c>
      <c r="AM29">
        <f t="shared" si="33"/>
        <v>0</v>
      </c>
      <c r="AN29">
        <f t="shared" si="33"/>
        <v>0</v>
      </c>
      <c r="AO29">
        <f>MOD(NOT(AO28)+IF(NOT(AP28)+1 &gt; 1, 1, 0), 2)</f>
        <v>1</v>
      </c>
      <c r="AP29">
        <f>MOD(NOT(AP28) + 1, 2)</f>
        <v>0</v>
      </c>
      <c r="AR29" s="3"/>
      <c r="AS29" s="3"/>
      <c r="AT29" s="3"/>
      <c r="AU29" s="3"/>
      <c r="AV29" s="3"/>
      <c r="AW29" s="3"/>
      <c r="AX29" s="3"/>
    </row>
    <row r="30" spans="7:50" ht="14" x14ac:dyDescent="0.3">
      <c r="G30">
        <f t="shared" ref="G30:V30" si="34">MOD(ROUNDDOWN(ABS($C6) / G$28,0),2)</f>
        <v>0</v>
      </c>
      <c r="H30">
        <f t="shared" si="34"/>
        <v>1</v>
      </c>
      <c r="I30">
        <f t="shared" si="34"/>
        <v>1</v>
      </c>
      <c r="J30">
        <f t="shared" si="34"/>
        <v>1</v>
      </c>
      <c r="K30">
        <f t="shared" si="34"/>
        <v>0</v>
      </c>
      <c r="L30">
        <f t="shared" si="34"/>
        <v>1</v>
      </c>
      <c r="M30">
        <f t="shared" si="34"/>
        <v>1</v>
      </c>
      <c r="N30">
        <f t="shared" si="34"/>
        <v>1</v>
      </c>
      <c r="O30">
        <f t="shared" si="34"/>
        <v>0</v>
      </c>
      <c r="P30">
        <f t="shared" si="34"/>
        <v>1</v>
      </c>
      <c r="Q30">
        <f t="shared" si="34"/>
        <v>1</v>
      </c>
      <c r="R30">
        <f t="shared" si="34"/>
        <v>1</v>
      </c>
      <c r="S30">
        <f t="shared" si="34"/>
        <v>1</v>
      </c>
      <c r="T30">
        <f t="shared" si="34"/>
        <v>0</v>
      </c>
      <c r="U30">
        <f t="shared" si="34"/>
        <v>0</v>
      </c>
      <c r="V30">
        <f t="shared" si="34"/>
        <v>0</v>
      </c>
      <c r="Y30" t="s">
        <v>55</v>
      </c>
      <c r="AA30" s="3" t="str">
        <f>IF(NOT(AA28), BIN2HEX($AA28&amp;$AB28&amp;$AC28&amp;AD28), BIN2HEX($AA29&amp;$AB29&amp;$AC29&amp;AD29))</f>
        <v>7</v>
      </c>
      <c r="AB30" s="3"/>
      <c r="AC30" s="3"/>
      <c r="AD30" s="3"/>
      <c r="AE30" s="3" t="str">
        <f>IF(NOT(AA28),BIN2HEX($AE28&amp;$AF28&amp;$AG28&amp;$AH28),BIN2HEX($AE29&amp;$AF29&amp;$AG29&amp;$AH29))</f>
        <v>2</v>
      </c>
      <c r="AF30" s="3"/>
      <c r="AG30" s="3"/>
      <c r="AH30" s="3"/>
      <c r="AI30" s="3" t="str">
        <f>IF(NOT(AA28),BIN2HEX($AI28&amp;$AJ28&amp;$AK28&amp;$AL28), BIN2HEX($AI29&amp;$AJ29&amp;$AK29&amp;$AL29))</f>
        <v>B</v>
      </c>
      <c r="AJ30" s="3"/>
      <c r="AK30" s="3"/>
      <c r="AL30" s="3"/>
      <c r="AM30" s="3" t="str">
        <f>IF(NOT(AA28),BIN2HEX($AM28&amp;$AN28&amp;$AO28&amp;$AP28), BIN2HEX($AM29&amp;$AN29&amp;$AO29&amp;$AP29))</f>
        <v>2</v>
      </c>
      <c r="AN30" s="3"/>
      <c r="AO30" s="3"/>
      <c r="AP30" s="3"/>
      <c r="AR30" s="3"/>
      <c r="AS30" s="3"/>
      <c r="AT30" s="3"/>
      <c r="AU30" s="3"/>
      <c r="AV30" s="3"/>
      <c r="AW30" s="3"/>
      <c r="AX30" s="3"/>
    </row>
    <row r="31" spans="7:50" ht="14" x14ac:dyDescent="0.3">
      <c r="G31">
        <f t="shared" ref="G31:V31" si="35">MOD(ROUNDDOWN(ABS($C7) / G$28,0),2)</f>
        <v>0</v>
      </c>
      <c r="H31">
        <f t="shared" si="35"/>
        <v>1</v>
      </c>
      <c r="I31">
        <f t="shared" si="35"/>
        <v>1</v>
      </c>
      <c r="J31">
        <f t="shared" si="35"/>
        <v>1</v>
      </c>
      <c r="K31">
        <f t="shared" si="35"/>
        <v>1</v>
      </c>
      <c r="L31">
        <f t="shared" si="35"/>
        <v>1</v>
      </c>
      <c r="M31">
        <f t="shared" si="35"/>
        <v>0</v>
      </c>
      <c r="N31">
        <f t="shared" si="35"/>
        <v>1</v>
      </c>
      <c r="O31">
        <f t="shared" si="35"/>
        <v>0</v>
      </c>
      <c r="P31">
        <f t="shared" si="35"/>
        <v>1</v>
      </c>
      <c r="Q31">
        <f t="shared" si="35"/>
        <v>0</v>
      </c>
      <c r="R31">
        <f t="shared" si="35"/>
        <v>0</v>
      </c>
      <c r="S31">
        <f t="shared" si="35"/>
        <v>0</v>
      </c>
      <c r="T31">
        <f t="shared" si="35"/>
        <v>0</v>
      </c>
      <c r="U31">
        <f t="shared" si="35"/>
        <v>1</v>
      </c>
      <c r="V31">
        <f t="shared" si="35"/>
        <v>0</v>
      </c>
      <c r="Y31">
        <f>C6+C11</f>
        <v>29102</v>
      </c>
      <c r="Z31" s="3">
        <f>IF(NOT(AA28), 1, -1) * HEX2DEC(AA30&amp;AE30&amp;AI30&amp;AM30)</f>
        <v>-29362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R31" s="3"/>
      <c r="AS31" s="3"/>
      <c r="AT31" s="3"/>
      <c r="AU31" s="3"/>
      <c r="AV31" s="3"/>
      <c r="AW31" s="3"/>
      <c r="AX31" s="3"/>
    </row>
    <row r="32" spans="7:50" ht="14" x14ac:dyDescent="0.3">
      <c r="G32">
        <f t="shared" ref="G32:V32" si="36">MOD(ROUNDDOWN(ABS($C8) / G$28,0),2)</f>
        <v>1</v>
      </c>
      <c r="H32">
        <f t="shared" si="36"/>
        <v>1</v>
      </c>
      <c r="I32">
        <f t="shared" si="36"/>
        <v>1</v>
      </c>
      <c r="J32">
        <f t="shared" si="36"/>
        <v>1</v>
      </c>
      <c r="K32">
        <f t="shared" si="36"/>
        <v>0</v>
      </c>
      <c r="L32">
        <f t="shared" si="36"/>
        <v>1</v>
      </c>
      <c r="M32">
        <f t="shared" si="36"/>
        <v>0</v>
      </c>
      <c r="N32">
        <f t="shared" si="36"/>
        <v>0</v>
      </c>
      <c r="O32">
        <f t="shared" si="36"/>
        <v>1</v>
      </c>
      <c r="P32">
        <f t="shared" si="36"/>
        <v>0</v>
      </c>
      <c r="Q32">
        <f t="shared" si="36"/>
        <v>1</v>
      </c>
      <c r="R32">
        <f t="shared" si="36"/>
        <v>1</v>
      </c>
      <c r="S32">
        <f t="shared" si="36"/>
        <v>1</v>
      </c>
      <c r="T32">
        <f t="shared" si="36"/>
        <v>0</v>
      </c>
      <c r="U32">
        <f t="shared" si="36"/>
        <v>1</v>
      </c>
      <c r="V32">
        <f t="shared" si="36"/>
        <v>0</v>
      </c>
    </row>
    <row r="33" spans="7:50" ht="14" x14ac:dyDescent="0.3">
      <c r="G33">
        <f t="shared" ref="G33:V33" si="37">MOD(ROUNDDOWN(ABS($C9) / G$28,0),2)</f>
        <v>0</v>
      </c>
      <c r="H33">
        <f t="shared" si="37"/>
        <v>1</v>
      </c>
      <c r="I33">
        <f t="shared" si="37"/>
        <v>1</v>
      </c>
      <c r="J33">
        <f t="shared" si="37"/>
        <v>1</v>
      </c>
      <c r="K33">
        <f t="shared" si="37"/>
        <v>0</v>
      </c>
      <c r="L33">
        <f t="shared" si="37"/>
        <v>0</v>
      </c>
      <c r="M33">
        <f t="shared" si="37"/>
        <v>0</v>
      </c>
      <c r="N33">
        <f t="shared" si="37"/>
        <v>1</v>
      </c>
      <c r="O33">
        <f t="shared" si="37"/>
        <v>1</v>
      </c>
      <c r="P33">
        <f t="shared" si="37"/>
        <v>0</v>
      </c>
      <c r="Q33">
        <f t="shared" si="37"/>
        <v>1</v>
      </c>
      <c r="R33">
        <f t="shared" si="37"/>
        <v>0</v>
      </c>
      <c r="S33">
        <f t="shared" si="37"/>
        <v>1</v>
      </c>
      <c r="T33">
        <f t="shared" si="37"/>
        <v>1</v>
      </c>
      <c r="U33">
        <f t="shared" si="37"/>
        <v>1</v>
      </c>
      <c r="V33">
        <f t="shared" si="37"/>
        <v>0</v>
      </c>
    </row>
    <row r="34" spans="7:50" ht="14" x14ac:dyDescent="0.3">
      <c r="G34">
        <f t="shared" ref="G34:V34" si="38">MOD(ROUNDDOWN(ABS($C10) / G$28,0),2)</f>
        <v>0</v>
      </c>
      <c r="H34">
        <f t="shared" si="38"/>
        <v>0</v>
      </c>
      <c r="I34">
        <f t="shared" si="38"/>
        <v>0</v>
      </c>
      <c r="J34">
        <f t="shared" si="38"/>
        <v>0</v>
      </c>
      <c r="K34">
        <f t="shared" si="38"/>
        <v>1</v>
      </c>
      <c r="L34">
        <f t="shared" si="38"/>
        <v>0</v>
      </c>
      <c r="M34">
        <f t="shared" si="38"/>
        <v>1</v>
      </c>
      <c r="N34">
        <f t="shared" si="38"/>
        <v>1</v>
      </c>
      <c r="O34">
        <f t="shared" si="38"/>
        <v>0</v>
      </c>
      <c r="P34">
        <f t="shared" si="38"/>
        <v>1</v>
      </c>
      <c r="Q34">
        <f t="shared" si="38"/>
        <v>0</v>
      </c>
      <c r="R34">
        <f t="shared" si="38"/>
        <v>0</v>
      </c>
      <c r="S34">
        <f t="shared" si="38"/>
        <v>0</v>
      </c>
      <c r="T34">
        <f t="shared" si="38"/>
        <v>1</v>
      </c>
      <c r="U34">
        <f t="shared" si="38"/>
        <v>1</v>
      </c>
      <c r="V34">
        <f t="shared" si="38"/>
        <v>0</v>
      </c>
      <c r="AA34" t="b">
        <f t="shared" ref="AA34:AN34" si="39">IF(AB35+AB36+AB34 &gt; 1,TRUE())</f>
        <v>1</v>
      </c>
      <c r="AB34" t="b">
        <f t="shared" si="39"/>
        <v>1</v>
      </c>
      <c r="AC34" t="b">
        <f t="shared" si="39"/>
        <v>1</v>
      </c>
      <c r="AD34" t="b">
        <f t="shared" si="39"/>
        <v>1</v>
      </c>
      <c r="AE34" t="b">
        <f t="shared" si="39"/>
        <v>0</v>
      </c>
      <c r="AF34" t="b">
        <f t="shared" si="39"/>
        <v>0</v>
      </c>
      <c r="AG34" t="b">
        <f t="shared" si="39"/>
        <v>0</v>
      </c>
      <c r="AH34" t="b">
        <f t="shared" si="39"/>
        <v>0</v>
      </c>
      <c r="AI34" t="b">
        <f t="shared" si="39"/>
        <v>0</v>
      </c>
      <c r="AJ34" t="b">
        <f t="shared" si="39"/>
        <v>0</v>
      </c>
      <c r="AK34" t="b">
        <f t="shared" si="39"/>
        <v>0</v>
      </c>
      <c r="AL34" t="b">
        <f t="shared" si="39"/>
        <v>0</v>
      </c>
      <c r="AM34" t="b">
        <f t="shared" si="39"/>
        <v>0</v>
      </c>
      <c r="AN34" t="b">
        <f t="shared" si="39"/>
        <v>0</v>
      </c>
      <c r="AO34" t="b">
        <f>IF(AP35+AP36 &gt; 1,TRUE())</f>
        <v>0</v>
      </c>
      <c r="AR34" t="s">
        <v>4</v>
      </c>
      <c r="AS34" t="s">
        <v>5</v>
      </c>
      <c r="AT34" t="s">
        <v>6</v>
      </c>
      <c r="AU34" t="s">
        <v>7</v>
      </c>
      <c r="AV34" t="s">
        <v>8</v>
      </c>
      <c r="AW34" t="s">
        <v>9</v>
      </c>
    </row>
    <row r="35" spans="7:50" ht="14" x14ac:dyDescent="0.3">
      <c r="G35" s="3" t="s">
        <v>56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Y35" t="str">
        <f>E11</f>
        <v xml:space="preserve">B7 = </v>
      </c>
      <c r="AA35">
        <f t="shared" ref="AA35:AP36" si="40">G11</f>
        <v>1</v>
      </c>
      <c r="AB35">
        <f t="shared" si="40"/>
        <v>1</v>
      </c>
      <c r="AC35">
        <f t="shared" si="40"/>
        <v>1</v>
      </c>
      <c r="AD35">
        <f t="shared" si="40"/>
        <v>1</v>
      </c>
      <c r="AE35">
        <f t="shared" si="40"/>
        <v>1</v>
      </c>
      <c r="AF35">
        <f t="shared" si="40"/>
        <v>0</v>
      </c>
      <c r="AG35">
        <f t="shared" si="40"/>
        <v>1</v>
      </c>
      <c r="AH35">
        <f t="shared" si="40"/>
        <v>0</v>
      </c>
      <c r="AI35">
        <f t="shared" si="40"/>
        <v>0</v>
      </c>
      <c r="AJ35">
        <f t="shared" si="40"/>
        <v>0</v>
      </c>
      <c r="AK35">
        <f t="shared" si="40"/>
        <v>1</v>
      </c>
      <c r="AL35">
        <f t="shared" si="40"/>
        <v>1</v>
      </c>
      <c r="AM35">
        <f t="shared" si="40"/>
        <v>0</v>
      </c>
      <c r="AN35">
        <f t="shared" si="40"/>
        <v>1</v>
      </c>
      <c r="AO35">
        <f t="shared" si="40"/>
        <v>1</v>
      </c>
      <c r="AP35">
        <f t="shared" si="40"/>
        <v>0</v>
      </c>
      <c r="AR35">
        <f>Z38</f>
        <v>1</v>
      </c>
      <c r="AS35">
        <f>IF(AND(AA35 = AA36, NOT(AA36 = AA38)), 1, 0)</f>
        <v>1</v>
      </c>
      <c r="AT35">
        <f>IF(Z41 = 0,1,0)</f>
        <v>0</v>
      </c>
      <c r="AU35">
        <f>IF(AM34+AM35+AM36 &gt; 1, 1, 0)</f>
        <v>0</v>
      </c>
      <c r="AV35">
        <f>IF(AA38,0,1)</f>
        <v>1</v>
      </c>
      <c r="AW35">
        <f>IF(MOD(SUM(AM38:AP38),2) = 0, 1,0)</f>
        <v>0</v>
      </c>
    </row>
    <row r="36" spans="7:50" ht="14" x14ac:dyDescent="0.3">
      <c r="G36">
        <f t="shared" ref="G36:T36" si="41">IF(NOT(H29)+H36&gt;1,1,0)</f>
        <v>0</v>
      </c>
      <c r="H36">
        <f t="shared" si="41"/>
        <v>0</v>
      </c>
      <c r="I36">
        <f t="shared" si="41"/>
        <v>0</v>
      </c>
      <c r="J36">
        <f t="shared" si="41"/>
        <v>0</v>
      </c>
      <c r="K36">
        <f t="shared" si="41"/>
        <v>0</v>
      </c>
      <c r="L36">
        <f t="shared" si="41"/>
        <v>0</v>
      </c>
      <c r="M36">
        <f t="shared" si="41"/>
        <v>0</v>
      </c>
      <c r="N36">
        <f t="shared" si="41"/>
        <v>0</v>
      </c>
      <c r="O36">
        <f t="shared" si="41"/>
        <v>0</v>
      </c>
      <c r="P36">
        <f t="shared" si="41"/>
        <v>0</v>
      </c>
      <c r="Q36">
        <f t="shared" si="41"/>
        <v>0</v>
      </c>
      <c r="R36">
        <f t="shared" si="41"/>
        <v>0</v>
      </c>
      <c r="S36">
        <f t="shared" si="41"/>
        <v>0</v>
      </c>
      <c r="T36">
        <f t="shared" si="41"/>
        <v>0</v>
      </c>
      <c r="U36">
        <f t="shared" ref="U36:U41" si="42">IF(NOT(V29)+1&gt;1,1,0)</f>
        <v>1</v>
      </c>
      <c r="Y36" t="str">
        <f>E12</f>
        <v xml:space="preserve">B8 = </v>
      </c>
      <c r="AA36">
        <f t="shared" si="40"/>
        <v>1</v>
      </c>
      <c r="AB36">
        <f t="shared" si="40"/>
        <v>0</v>
      </c>
      <c r="AC36">
        <f t="shared" si="40"/>
        <v>0</v>
      </c>
      <c r="AD36">
        <f t="shared" si="40"/>
        <v>0</v>
      </c>
      <c r="AE36">
        <f t="shared" si="40"/>
        <v>1</v>
      </c>
      <c r="AF36">
        <f t="shared" si="40"/>
        <v>0</v>
      </c>
      <c r="AG36">
        <f t="shared" si="40"/>
        <v>0</v>
      </c>
      <c r="AH36">
        <f t="shared" si="40"/>
        <v>0</v>
      </c>
      <c r="AI36">
        <f t="shared" si="40"/>
        <v>1</v>
      </c>
      <c r="AJ36">
        <f t="shared" si="40"/>
        <v>0</v>
      </c>
      <c r="AK36">
        <f t="shared" si="40"/>
        <v>0</v>
      </c>
      <c r="AL36">
        <f t="shared" si="40"/>
        <v>0</v>
      </c>
      <c r="AM36">
        <f t="shared" si="40"/>
        <v>1</v>
      </c>
      <c r="AN36">
        <f t="shared" si="40"/>
        <v>0</v>
      </c>
      <c r="AO36">
        <f t="shared" si="40"/>
        <v>0</v>
      </c>
      <c r="AP36">
        <f t="shared" si="40"/>
        <v>0</v>
      </c>
    </row>
    <row r="37" spans="7:50" ht="14" x14ac:dyDescent="0.3">
      <c r="G37">
        <f t="shared" ref="G37:T37" si="43">IF(NOT(H30)+H37&gt;1,1,0)</f>
        <v>0</v>
      </c>
      <c r="H37">
        <f t="shared" si="43"/>
        <v>0</v>
      </c>
      <c r="I37">
        <f t="shared" si="43"/>
        <v>0</v>
      </c>
      <c r="J37">
        <f t="shared" si="43"/>
        <v>0</v>
      </c>
      <c r="K37">
        <f t="shared" si="43"/>
        <v>0</v>
      </c>
      <c r="L37">
        <f t="shared" si="43"/>
        <v>0</v>
      </c>
      <c r="M37">
        <f t="shared" si="43"/>
        <v>0</v>
      </c>
      <c r="N37">
        <f t="shared" si="43"/>
        <v>0</v>
      </c>
      <c r="O37">
        <f t="shared" si="43"/>
        <v>0</v>
      </c>
      <c r="P37">
        <f t="shared" si="43"/>
        <v>0</v>
      </c>
      <c r="Q37">
        <f t="shared" si="43"/>
        <v>0</v>
      </c>
      <c r="R37">
        <f t="shared" si="43"/>
        <v>0</v>
      </c>
      <c r="S37">
        <f t="shared" si="43"/>
        <v>1</v>
      </c>
      <c r="T37">
        <f t="shared" si="43"/>
        <v>1</v>
      </c>
      <c r="U37">
        <f t="shared" si="42"/>
        <v>1</v>
      </c>
      <c r="Y37" t="s">
        <v>19</v>
      </c>
      <c r="Z37" t="s">
        <v>20</v>
      </c>
      <c r="AA37" t="s">
        <v>21</v>
      </c>
      <c r="AB37" t="s">
        <v>21</v>
      </c>
      <c r="AC37" t="s">
        <v>21</v>
      </c>
      <c r="AD37" t="s">
        <v>21</v>
      </c>
      <c r="AE37" t="s">
        <v>21</v>
      </c>
      <c r="AF37" t="s">
        <v>21</v>
      </c>
      <c r="AG37" t="s">
        <v>21</v>
      </c>
      <c r="AH37" t="s">
        <v>21</v>
      </c>
      <c r="AI37" t="s">
        <v>21</v>
      </c>
      <c r="AJ37" t="s">
        <v>21</v>
      </c>
      <c r="AK37" t="s">
        <v>21</v>
      </c>
      <c r="AL37" t="s">
        <v>21</v>
      </c>
      <c r="AM37" t="s">
        <v>21</v>
      </c>
      <c r="AN37" t="s">
        <v>21</v>
      </c>
      <c r="AO37" t="s">
        <v>21</v>
      </c>
      <c r="AP37" t="s">
        <v>21</v>
      </c>
      <c r="AR37" s="3" t="str">
        <f>"при сумме "&amp;IF(AA35=AA36,IF(AA35,"отрицательных","положительных"),"")&amp;CHAR(10)&amp;"чисел "&amp;" получено "&amp;IF(AA38,"отрицательное","положительное")&amp;"  число."&amp;CHAR(10)&amp;IF(NOT(AR35),"Не происходит перноса","Происходит перенос")&amp;CHAR(10)&amp;"и "&amp;IF(NOT(AS35),"не происходит переполнения","происходит переполнение")&amp;"."&amp;CHAR(10)&amp;"Выражение вычислено "&amp;IF(Y41=Z41,"корректно","некорректно")</f>
        <v>при сумме отрицательных
чисел  получено положительное  число.
Происходит перенос
и происходит переполнение.
Выражение вычислено некорректно</v>
      </c>
      <c r="AS37" s="3"/>
      <c r="AT37" s="3"/>
      <c r="AU37" s="3"/>
      <c r="AV37" s="3"/>
      <c r="AW37" s="3"/>
      <c r="AX37" s="3"/>
    </row>
    <row r="38" spans="7:50" ht="14" x14ac:dyDescent="0.3">
      <c r="G38">
        <f t="shared" ref="G38:T38" si="44">IF(NOT(H31)+H38&gt;1,1,0)</f>
        <v>0</v>
      </c>
      <c r="H38">
        <f t="shared" si="44"/>
        <v>0</v>
      </c>
      <c r="I38">
        <f t="shared" si="44"/>
        <v>0</v>
      </c>
      <c r="J38">
        <f t="shared" si="44"/>
        <v>0</v>
      </c>
      <c r="K38">
        <f t="shared" si="44"/>
        <v>0</v>
      </c>
      <c r="L38">
        <f t="shared" si="44"/>
        <v>0</v>
      </c>
      <c r="M38">
        <f t="shared" si="44"/>
        <v>0</v>
      </c>
      <c r="N38">
        <f t="shared" si="44"/>
        <v>0</v>
      </c>
      <c r="O38">
        <f t="shared" si="44"/>
        <v>0</v>
      </c>
      <c r="P38">
        <f t="shared" si="44"/>
        <v>0</v>
      </c>
      <c r="Q38">
        <f t="shared" si="44"/>
        <v>0</v>
      </c>
      <c r="R38">
        <f t="shared" si="44"/>
        <v>0</v>
      </c>
      <c r="S38">
        <f t="shared" si="44"/>
        <v>0</v>
      </c>
      <c r="T38">
        <f t="shared" si="44"/>
        <v>0</v>
      </c>
      <c r="U38">
        <f t="shared" si="42"/>
        <v>1</v>
      </c>
      <c r="Y38" t="s">
        <v>57</v>
      </c>
      <c r="Z38">
        <f>IF(AA34+AA35+AA36 &gt; 1, 1, 0)</f>
        <v>1</v>
      </c>
      <c r="AA38">
        <f t="shared" ref="AA38:AP38" si="45">MOD(AA35+AA36,2)</f>
        <v>0</v>
      </c>
      <c r="AB38">
        <f t="shared" si="45"/>
        <v>1</v>
      </c>
      <c r="AC38">
        <f t="shared" si="45"/>
        <v>1</v>
      </c>
      <c r="AD38">
        <f t="shared" si="45"/>
        <v>1</v>
      </c>
      <c r="AE38">
        <f t="shared" si="45"/>
        <v>0</v>
      </c>
      <c r="AF38">
        <f t="shared" si="45"/>
        <v>0</v>
      </c>
      <c r="AG38">
        <f t="shared" si="45"/>
        <v>1</v>
      </c>
      <c r="AH38">
        <f t="shared" si="45"/>
        <v>0</v>
      </c>
      <c r="AI38">
        <f t="shared" si="45"/>
        <v>1</v>
      </c>
      <c r="AJ38">
        <f t="shared" si="45"/>
        <v>0</v>
      </c>
      <c r="AK38">
        <f t="shared" si="45"/>
        <v>1</v>
      </c>
      <c r="AL38">
        <f t="shared" si="45"/>
        <v>1</v>
      </c>
      <c r="AM38">
        <f t="shared" si="45"/>
        <v>1</v>
      </c>
      <c r="AN38">
        <f t="shared" si="45"/>
        <v>1</v>
      </c>
      <c r="AO38">
        <f t="shared" si="45"/>
        <v>1</v>
      </c>
      <c r="AP38">
        <f t="shared" si="45"/>
        <v>0</v>
      </c>
      <c r="AR38" s="3"/>
      <c r="AS38" s="3"/>
      <c r="AT38" s="3"/>
      <c r="AU38" s="3"/>
      <c r="AV38" s="3"/>
      <c r="AW38" s="3"/>
      <c r="AX38" s="3"/>
    </row>
    <row r="39" spans="7:50" ht="14" x14ac:dyDescent="0.3">
      <c r="G39">
        <f t="shared" ref="G39:T39" si="46">IF(NOT(H32)+H39&gt;1,1,0)</f>
        <v>0</v>
      </c>
      <c r="H39">
        <f t="shared" si="46"/>
        <v>0</v>
      </c>
      <c r="I39">
        <f t="shared" si="46"/>
        <v>0</v>
      </c>
      <c r="J39">
        <f t="shared" si="46"/>
        <v>0</v>
      </c>
      <c r="K39">
        <f t="shared" si="46"/>
        <v>0</v>
      </c>
      <c r="L39">
        <f t="shared" si="46"/>
        <v>0</v>
      </c>
      <c r="M39">
        <f t="shared" si="46"/>
        <v>0</v>
      </c>
      <c r="N39">
        <f t="shared" si="46"/>
        <v>0</v>
      </c>
      <c r="O39">
        <f t="shared" si="46"/>
        <v>0</v>
      </c>
      <c r="P39">
        <f t="shared" si="46"/>
        <v>0</v>
      </c>
      <c r="Q39">
        <f t="shared" si="46"/>
        <v>0</v>
      </c>
      <c r="R39">
        <f t="shared" si="46"/>
        <v>0</v>
      </c>
      <c r="S39">
        <f t="shared" si="46"/>
        <v>0</v>
      </c>
      <c r="T39">
        <f t="shared" si="46"/>
        <v>0</v>
      </c>
      <c r="U39">
        <f t="shared" si="42"/>
        <v>1</v>
      </c>
      <c r="AA39">
        <f t="shared" ref="AA39:AN39" si="47">MOD(NOT(AA38) + IF(AND(NOT(AB38), NOT(AB39)),1,0),2)</f>
        <v>1</v>
      </c>
      <c r="AB39">
        <f t="shared" si="47"/>
        <v>0</v>
      </c>
      <c r="AC39">
        <f t="shared" si="47"/>
        <v>0</v>
      </c>
      <c r="AD39">
        <f t="shared" si="47"/>
        <v>0</v>
      </c>
      <c r="AE39">
        <f t="shared" si="47"/>
        <v>1</v>
      </c>
      <c r="AF39">
        <f t="shared" si="47"/>
        <v>1</v>
      </c>
      <c r="AG39">
        <f t="shared" si="47"/>
        <v>0</v>
      </c>
      <c r="AH39">
        <f t="shared" si="47"/>
        <v>1</v>
      </c>
      <c r="AI39">
        <f t="shared" si="47"/>
        <v>0</v>
      </c>
      <c r="AJ39">
        <f t="shared" si="47"/>
        <v>1</v>
      </c>
      <c r="AK39">
        <f t="shared" si="47"/>
        <v>0</v>
      </c>
      <c r="AL39">
        <f t="shared" si="47"/>
        <v>0</v>
      </c>
      <c r="AM39">
        <f t="shared" si="47"/>
        <v>0</v>
      </c>
      <c r="AN39">
        <f t="shared" si="47"/>
        <v>0</v>
      </c>
      <c r="AO39">
        <f>MOD(NOT(AO38)+IF(NOT(AP38)+1 &gt; 1, 1, 0), 2)</f>
        <v>1</v>
      </c>
      <c r="AP39">
        <f>MOD(NOT(AP38) + 1, 2)</f>
        <v>0</v>
      </c>
      <c r="AR39" s="3"/>
      <c r="AS39" s="3"/>
      <c r="AT39" s="3"/>
      <c r="AU39" s="3"/>
      <c r="AV39" s="3"/>
      <c r="AW39" s="3"/>
      <c r="AX39" s="3"/>
    </row>
    <row r="40" spans="7:50" ht="14" x14ac:dyDescent="0.3">
      <c r="G40">
        <f t="shared" ref="G40:T40" si="48">IF(NOT(H33)+H40&gt;1,1,0)</f>
        <v>0</v>
      </c>
      <c r="H40">
        <f t="shared" si="48"/>
        <v>0</v>
      </c>
      <c r="I40">
        <f t="shared" si="48"/>
        <v>0</v>
      </c>
      <c r="J40">
        <f t="shared" si="48"/>
        <v>0</v>
      </c>
      <c r="K40">
        <f t="shared" si="48"/>
        <v>0</v>
      </c>
      <c r="L40">
        <f t="shared" si="48"/>
        <v>0</v>
      </c>
      <c r="M40">
        <f t="shared" si="48"/>
        <v>0</v>
      </c>
      <c r="N40">
        <f t="shared" si="48"/>
        <v>0</v>
      </c>
      <c r="O40">
        <f t="shared" si="48"/>
        <v>0</v>
      </c>
      <c r="P40">
        <f t="shared" si="48"/>
        <v>0</v>
      </c>
      <c r="Q40">
        <f t="shared" si="48"/>
        <v>0</v>
      </c>
      <c r="R40">
        <f t="shared" si="48"/>
        <v>0</v>
      </c>
      <c r="S40">
        <f t="shared" si="48"/>
        <v>0</v>
      </c>
      <c r="T40">
        <f t="shared" si="48"/>
        <v>0</v>
      </c>
      <c r="U40">
        <f t="shared" si="42"/>
        <v>1</v>
      </c>
      <c r="Y40" t="s">
        <v>58</v>
      </c>
      <c r="AA40" s="3" t="str">
        <f>IF(NOT(AA38), BIN2HEX($AA38&amp;$AB38&amp;$AC38&amp;AD38), BIN2HEX($AA39&amp;$AB39&amp;$AC39&amp;AD39))</f>
        <v>7</v>
      </c>
      <c r="AB40" s="3"/>
      <c r="AC40" s="3"/>
      <c r="AD40" s="3"/>
      <c r="AE40" s="3" t="str">
        <f>IF(NOT(AA38),BIN2HEX($AE38&amp;$AF38&amp;$AG38&amp;$AH38),BIN2HEX($AE39&amp;$AF39&amp;$AG39&amp;$AH39))</f>
        <v>2</v>
      </c>
      <c r="AF40" s="3"/>
      <c r="AG40" s="3"/>
      <c r="AH40" s="3"/>
      <c r="AI40" s="3" t="str">
        <f>IF(NOT(AA38),BIN2HEX($AI38&amp;$AJ38&amp;$AK38&amp;$AL38), BIN2HEX($AI39&amp;$AJ39&amp;$AK39&amp;$AL39))</f>
        <v>B</v>
      </c>
      <c r="AJ40" s="3"/>
      <c r="AK40" s="3"/>
      <c r="AL40" s="3"/>
      <c r="AM40" s="3" t="str">
        <f>IF(NOT(AA38),BIN2HEX($AM38&amp;$AN38&amp;$AO38&amp;$AP38), BIN2HEX($AM39&amp;$AN39&amp;$AO39&amp;$AP39))</f>
        <v>E</v>
      </c>
      <c r="AN40" s="3"/>
      <c r="AO40" s="3"/>
      <c r="AP40" s="3"/>
      <c r="AR40" s="3"/>
      <c r="AS40" s="3"/>
      <c r="AT40" s="3"/>
      <c r="AU40" s="3"/>
      <c r="AV40" s="3"/>
      <c r="AW40" s="3"/>
      <c r="AX40" s="3"/>
    </row>
    <row r="41" spans="7:50" ht="14" x14ac:dyDescent="0.3">
      <c r="G41">
        <f t="shared" ref="G41:T41" si="49">IF(NOT(H34)+H41&gt;1,1,0)</f>
        <v>0</v>
      </c>
      <c r="H41">
        <f t="shared" si="49"/>
        <v>0</v>
      </c>
      <c r="I41">
        <f t="shared" si="49"/>
        <v>0</v>
      </c>
      <c r="J41">
        <f t="shared" si="49"/>
        <v>0</v>
      </c>
      <c r="K41">
        <f t="shared" si="49"/>
        <v>0</v>
      </c>
      <c r="L41">
        <f t="shared" si="49"/>
        <v>0</v>
      </c>
      <c r="M41">
        <f t="shared" si="49"/>
        <v>0</v>
      </c>
      <c r="N41">
        <f t="shared" si="49"/>
        <v>0</v>
      </c>
      <c r="O41">
        <f t="shared" si="49"/>
        <v>0</v>
      </c>
      <c r="P41">
        <f t="shared" si="49"/>
        <v>0</v>
      </c>
      <c r="Q41">
        <f t="shared" si="49"/>
        <v>0</v>
      </c>
      <c r="R41">
        <f t="shared" si="49"/>
        <v>0</v>
      </c>
      <c r="S41">
        <f t="shared" si="49"/>
        <v>0</v>
      </c>
      <c r="T41">
        <f t="shared" si="49"/>
        <v>0</v>
      </c>
      <c r="U41">
        <f t="shared" si="42"/>
        <v>1</v>
      </c>
      <c r="Y41">
        <f>C11+C12</f>
        <v>-32066</v>
      </c>
      <c r="Z41" s="3">
        <f>IF(NOT(AA38), 1, -1) * HEX2DEC(AA40&amp;AE40&amp;AI40&amp;AM40)</f>
        <v>29374</v>
      </c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R41" s="3"/>
      <c r="AS41" s="3"/>
      <c r="AT41" s="3"/>
      <c r="AU41" s="3"/>
      <c r="AV41" s="3"/>
      <c r="AW41" s="3"/>
      <c r="AX41" s="3"/>
    </row>
    <row r="42" spans="7:50" ht="14" x14ac:dyDescent="0.3"/>
    <row r="43" spans="7:50" ht="14" x14ac:dyDescent="0.3">
      <c r="G43" s="3" t="s">
        <v>59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7:50" ht="14" x14ac:dyDescent="0.3">
      <c r="G44">
        <f t="shared" ref="G44:U44" si="50">MOD(NOT(G29)+G36,2)</f>
        <v>1</v>
      </c>
      <c r="H44">
        <f t="shared" si="50"/>
        <v>1</v>
      </c>
      <c r="I44">
        <f t="shared" si="50"/>
        <v>1</v>
      </c>
      <c r="J44">
        <f t="shared" si="50"/>
        <v>1</v>
      </c>
      <c r="K44">
        <f t="shared" si="50"/>
        <v>1</v>
      </c>
      <c r="L44">
        <f t="shared" si="50"/>
        <v>0</v>
      </c>
      <c r="M44">
        <f t="shared" si="50"/>
        <v>1</v>
      </c>
      <c r="N44">
        <f t="shared" si="50"/>
        <v>0</v>
      </c>
      <c r="O44">
        <f t="shared" si="50"/>
        <v>0</v>
      </c>
      <c r="P44">
        <f t="shared" si="50"/>
        <v>0</v>
      </c>
      <c r="Q44">
        <f t="shared" si="50"/>
        <v>1</v>
      </c>
      <c r="R44">
        <f t="shared" si="50"/>
        <v>1</v>
      </c>
      <c r="S44">
        <f t="shared" si="50"/>
        <v>0</v>
      </c>
      <c r="T44">
        <f t="shared" si="50"/>
        <v>1</v>
      </c>
      <c r="U44">
        <f t="shared" si="50"/>
        <v>1</v>
      </c>
      <c r="V44">
        <f t="shared" ref="V44:V49" si="51">MOD(NOT(V29) + 1, 2)</f>
        <v>0</v>
      </c>
      <c r="AA44" t="b">
        <f t="shared" ref="AA44:AN44" si="52">IF(AB45+AB46+AB44 &gt; 1,TRUE())</f>
        <v>0</v>
      </c>
      <c r="AB44" t="b">
        <f t="shared" si="52"/>
        <v>0</v>
      </c>
      <c r="AC44" t="b">
        <f t="shared" si="52"/>
        <v>0</v>
      </c>
      <c r="AD44" t="b">
        <f t="shared" si="52"/>
        <v>0</v>
      </c>
      <c r="AE44" t="b">
        <f t="shared" si="52"/>
        <v>0</v>
      </c>
      <c r="AF44" t="b">
        <f t="shared" si="52"/>
        <v>0</v>
      </c>
      <c r="AG44" t="b">
        <f t="shared" si="52"/>
        <v>0</v>
      </c>
      <c r="AH44" t="b">
        <f t="shared" si="52"/>
        <v>1</v>
      </c>
      <c r="AI44" t="b">
        <f t="shared" si="52"/>
        <v>0</v>
      </c>
      <c r="AJ44" t="b">
        <f t="shared" si="52"/>
        <v>1</v>
      </c>
      <c r="AK44" t="b">
        <f t="shared" si="52"/>
        <v>1</v>
      </c>
      <c r="AL44" t="b">
        <f t="shared" si="52"/>
        <v>1</v>
      </c>
      <c r="AM44" t="b">
        <f t="shared" si="52"/>
        <v>0</v>
      </c>
      <c r="AN44" t="b">
        <f t="shared" si="52"/>
        <v>0</v>
      </c>
      <c r="AO44" t="b">
        <f>IF(AP45+AP46 &gt; 1,TRUE())</f>
        <v>0</v>
      </c>
      <c r="AR44" t="s">
        <v>4</v>
      </c>
      <c r="AS44" t="s">
        <v>5</v>
      </c>
      <c r="AT44" t="s">
        <v>6</v>
      </c>
      <c r="AU44" t="s">
        <v>7</v>
      </c>
      <c r="AV44" t="s">
        <v>8</v>
      </c>
      <c r="AW44" t="s">
        <v>9</v>
      </c>
    </row>
    <row r="45" spans="7:50" ht="14" x14ac:dyDescent="0.3">
      <c r="G45">
        <f t="shared" ref="G45:U45" si="53">MOD(NOT(G30)+G37,2)</f>
        <v>1</v>
      </c>
      <c r="H45">
        <f t="shared" si="53"/>
        <v>0</v>
      </c>
      <c r="I45">
        <f t="shared" si="53"/>
        <v>0</v>
      </c>
      <c r="J45">
        <f t="shared" si="53"/>
        <v>0</v>
      </c>
      <c r="K45">
        <f t="shared" si="53"/>
        <v>1</v>
      </c>
      <c r="L45">
        <f t="shared" si="53"/>
        <v>0</v>
      </c>
      <c r="M45">
        <f t="shared" si="53"/>
        <v>0</v>
      </c>
      <c r="N45">
        <f t="shared" si="53"/>
        <v>0</v>
      </c>
      <c r="O45">
        <f t="shared" si="53"/>
        <v>1</v>
      </c>
      <c r="P45">
        <f t="shared" si="53"/>
        <v>0</v>
      </c>
      <c r="Q45">
        <f t="shared" si="53"/>
        <v>0</v>
      </c>
      <c r="R45">
        <f t="shared" si="53"/>
        <v>0</v>
      </c>
      <c r="S45">
        <f t="shared" si="53"/>
        <v>1</v>
      </c>
      <c r="T45">
        <f t="shared" si="53"/>
        <v>0</v>
      </c>
      <c r="U45">
        <f t="shared" si="53"/>
        <v>0</v>
      </c>
      <c r="V45">
        <f t="shared" si="51"/>
        <v>0</v>
      </c>
      <c r="Y45" t="str">
        <f>E12</f>
        <v xml:space="preserve">B8 = </v>
      </c>
      <c r="AA45">
        <f t="shared" ref="AA45:AP46" si="54">G12</f>
        <v>1</v>
      </c>
      <c r="AB45">
        <f t="shared" si="54"/>
        <v>0</v>
      </c>
      <c r="AC45">
        <f t="shared" si="54"/>
        <v>0</v>
      </c>
      <c r="AD45">
        <f t="shared" si="54"/>
        <v>0</v>
      </c>
      <c r="AE45">
        <f t="shared" si="54"/>
        <v>1</v>
      </c>
      <c r="AF45">
        <f t="shared" si="54"/>
        <v>0</v>
      </c>
      <c r="AG45">
        <f t="shared" si="54"/>
        <v>0</v>
      </c>
      <c r="AH45">
        <f t="shared" si="54"/>
        <v>0</v>
      </c>
      <c r="AI45">
        <f t="shared" si="54"/>
        <v>1</v>
      </c>
      <c r="AJ45">
        <f t="shared" si="54"/>
        <v>0</v>
      </c>
      <c r="AK45">
        <f t="shared" si="54"/>
        <v>0</v>
      </c>
      <c r="AL45">
        <f t="shared" si="54"/>
        <v>0</v>
      </c>
      <c r="AM45">
        <f t="shared" si="54"/>
        <v>1</v>
      </c>
      <c r="AN45">
        <f t="shared" si="54"/>
        <v>0</v>
      </c>
      <c r="AO45">
        <f t="shared" si="54"/>
        <v>0</v>
      </c>
      <c r="AP45">
        <f t="shared" si="54"/>
        <v>0</v>
      </c>
      <c r="AR45">
        <f>Z48</f>
        <v>1</v>
      </c>
      <c r="AS45">
        <f>IF(AND(AA45 = AA46, NOT(AA46 = AA48)), 1, 0)</f>
        <v>1</v>
      </c>
      <c r="AT45">
        <f>IF(Z51 = 0,1,0)</f>
        <v>0</v>
      </c>
      <c r="AU45">
        <f>IF(AM44+AM45+AM46 &gt; 1, 1, 0)</f>
        <v>1</v>
      </c>
      <c r="AV45">
        <f>IF(AA48,0,1)</f>
        <v>1</v>
      </c>
      <c r="AW45">
        <f>IF(MOD(SUM(AM48:AP48),2) = 0, 1,0)</f>
        <v>1</v>
      </c>
    </row>
    <row r="46" spans="7:50" ht="14" x14ac:dyDescent="0.3">
      <c r="G46">
        <f t="shared" ref="G46:U46" si="55">MOD(NOT(G31)+G38,2)</f>
        <v>1</v>
      </c>
      <c r="H46">
        <f t="shared" si="55"/>
        <v>0</v>
      </c>
      <c r="I46">
        <f t="shared" si="55"/>
        <v>0</v>
      </c>
      <c r="J46">
        <f t="shared" si="55"/>
        <v>0</v>
      </c>
      <c r="K46">
        <f t="shared" si="55"/>
        <v>0</v>
      </c>
      <c r="L46">
        <f t="shared" si="55"/>
        <v>0</v>
      </c>
      <c r="M46">
        <f t="shared" si="55"/>
        <v>1</v>
      </c>
      <c r="N46">
        <f t="shared" si="55"/>
        <v>0</v>
      </c>
      <c r="O46">
        <f t="shared" si="55"/>
        <v>1</v>
      </c>
      <c r="P46">
        <f t="shared" si="55"/>
        <v>0</v>
      </c>
      <c r="Q46">
        <f t="shared" si="55"/>
        <v>1</v>
      </c>
      <c r="R46">
        <f t="shared" si="55"/>
        <v>1</v>
      </c>
      <c r="S46">
        <f t="shared" si="55"/>
        <v>1</v>
      </c>
      <c r="T46">
        <f t="shared" si="55"/>
        <v>1</v>
      </c>
      <c r="U46">
        <f t="shared" si="55"/>
        <v>1</v>
      </c>
      <c r="V46">
        <f t="shared" si="51"/>
        <v>0</v>
      </c>
      <c r="Y46" t="str">
        <f>E13</f>
        <v xml:space="preserve">B9 = </v>
      </c>
      <c r="AA46">
        <f t="shared" si="54"/>
        <v>1</v>
      </c>
      <c r="AB46">
        <f t="shared" si="54"/>
        <v>0</v>
      </c>
      <c r="AC46">
        <f t="shared" si="54"/>
        <v>0</v>
      </c>
      <c r="AD46">
        <f t="shared" si="54"/>
        <v>0</v>
      </c>
      <c r="AE46">
        <f t="shared" si="54"/>
        <v>0</v>
      </c>
      <c r="AF46">
        <f t="shared" si="54"/>
        <v>0</v>
      </c>
      <c r="AG46">
        <f t="shared" si="54"/>
        <v>1</v>
      </c>
      <c r="AH46">
        <f t="shared" si="54"/>
        <v>0</v>
      </c>
      <c r="AI46">
        <f t="shared" si="54"/>
        <v>1</v>
      </c>
      <c r="AJ46">
        <f t="shared" si="54"/>
        <v>0</v>
      </c>
      <c r="AK46">
        <f t="shared" si="54"/>
        <v>1</v>
      </c>
      <c r="AL46">
        <f t="shared" si="54"/>
        <v>1</v>
      </c>
      <c r="AM46">
        <f t="shared" si="54"/>
        <v>1</v>
      </c>
      <c r="AN46">
        <f t="shared" si="54"/>
        <v>1</v>
      </c>
      <c r="AO46">
        <f t="shared" si="54"/>
        <v>1</v>
      </c>
      <c r="AP46">
        <f t="shared" si="54"/>
        <v>0</v>
      </c>
    </row>
    <row r="47" spans="7:50" ht="14" x14ac:dyDescent="0.3">
      <c r="G47">
        <f t="shared" ref="G47:U47" si="56">MOD(NOT(G32)+G39,2)</f>
        <v>0</v>
      </c>
      <c r="H47">
        <f t="shared" si="56"/>
        <v>0</v>
      </c>
      <c r="I47">
        <f t="shared" si="56"/>
        <v>0</v>
      </c>
      <c r="J47">
        <f t="shared" si="56"/>
        <v>0</v>
      </c>
      <c r="K47">
        <f t="shared" si="56"/>
        <v>1</v>
      </c>
      <c r="L47">
        <f t="shared" si="56"/>
        <v>0</v>
      </c>
      <c r="M47">
        <f t="shared" si="56"/>
        <v>1</v>
      </c>
      <c r="N47">
        <f t="shared" si="56"/>
        <v>1</v>
      </c>
      <c r="O47">
        <f t="shared" si="56"/>
        <v>0</v>
      </c>
      <c r="P47">
        <f t="shared" si="56"/>
        <v>1</v>
      </c>
      <c r="Q47">
        <f t="shared" si="56"/>
        <v>0</v>
      </c>
      <c r="R47">
        <f t="shared" si="56"/>
        <v>0</v>
      </c>
      <c r="S47">
        <f t="shared" si="56"/>
        <v>0</v>
      </c>
      <c r="T47">
        <f t="shared" si="56"/>
        <v>1</v>
      </c>
      <c r="U47">
        <f t="shared" si="56"/>
        <v>1</v>
      </c>
      <c r="V47">
        <f t="shared" si="51"/>
        <v>0</v>
      </c>
      <c r="Y47" t="s">
        <v>19</v>
      </c>
      <c r="Z47" t="s">
        <v>20</v>
      </c>
      <c r="AA47" t="s">
        <v>21</v>
      </c>
      <c r="AB47" t="s">
        <v>21</v>
      </c>
      <c r="AC47" t="s">
        <v>21</v>
      </c>
      <c r="AD47" t="s">
        <v>21</v>
      </c>
      <c r="AE47" t="s">
        <v>21</v>
      </c>
      <c r="AF47" t="s">
        <v>21</v>
      </c>
      <c r="AG47" t="s">
        <v>21</v>
      </c>
      <c r="AH47" t="s">
        <v>21</v>
      </c>
      <c r="AI47" t="s">
        <v>21</v>
      </c>
      <c r="AJ47" t="s">
        <v>21</v>
      </c>
      <c r="AK47" t="s">
        <v>21</v>
      </c>
      <c r="AL47" t="s">
        <v>21</v>
      </c>
      <c r="AM47" t="s">
        <v>21</v>
      </c>
      <c r="AN47" t="s">
        <v>21</v>
      </c>
      <c r="AO47" t="s">
        <v>21</v>
      </c>
      <c r="AP47" t="s">
        <v>21</v>
      </c>
      <c r="AR47" s="3" t="str">
        <f>"при сумме "&amp;IF(AA45=AA46,IF(AA45,"отрицательных","положительных"),"")&amp;CHAR(10)&amp;"чисел "&amp;" получено "&amp;IF(AA48,"отрицательное","положительное")&amp;"  число."&amp;CHAR(10)&amp;IF(NOT(AR45),"Не происходит перноса","Происходит перенос")&amp;CHAR(10)&amp;"и "&amp;IF(NOT(AS45),"не происходит переполнения","происходит переполнение")&amp;"."&amp;CHAR(10)&amp;"Выражение вычислено "&amp;IF(Y51=Z51,"корректно","некорректно")</f>
        <v>при сумме отрицательных
чисел  получено положительное  число.
Происходит перенос
и происходит переполнение.
Выражение вычислено некорректно</v>
      </c>
      <c r="AS47" s="3"/>
      <c r="AT47" s="3"/>
      <c r="AU47" s="3"/>
      <c r="AV47" s="3"/>
      <c r="AW47" s="3"/>
      <c r="AX47" s="3"/>
    </row>
    <row r="48" spans="7:50" ht="14" x14ac:dyDescent="0.3">
      <c r="G48">
        <f t="shared" ref="G48:U48" si="57">MOD(NOT(G33)+G40,2)</f>
        <v>1</v>
      </c>
      <c r="H48">
        <f t="shared" si="57"/>
        <v>0</v>
      </c>
      <c r="I48">
        <f t="shared" si="57"/>
        <v>0</v>
      </c>
      <c r="J48">
        <f t="shared" si="57"/>
        <v>0</v>
      </c>
      <c r="K48">
        <f t="shared" si="57"/>
        <v>1</v>
      </c>
      <c r="L48">
        <f t="shared" si="57"/>
        <v>1</v>
      </c>
      <c r="M48">
        <f t="shared" si="57"/>
        <v>1</v>
      </c>
      <c r="N48">
        <f t="shared" si="57"/>
        <v>0</v>
      </c>
      <c r="O48">
        <f t="shared" si="57"/>
        <v>0</v>
      </c>
      <c r="P48">
        <f t="shared" si="57"/>
        <v>1</v>
      </c>
      <c r="Q48">
        <f t="shared" si="57"/>
        <v>0</v>
      </c>
      <c r="R48">
        <f t="shared" si="57"/>
        <v>1</v>
      </c>
      <c r="S48">
        <f t="shared" si="57"/>
        <v>0</v>
      </c>
      <c r="T48">
        <f t="shared" si="57"/>
        <v>0</v>
      </c>
      <c r="U48">
        <f t="shared" si="57"/>
        <v>1</v>
      </c>
      <c r="V48">
        <f t="shared" si="51"/>
        <v>0</v>
      </c>
      <c r="Y48" t="s">
        <v>60</v>
      </c>
      <c r="Z48">
        <f>IF(AA44+AA45+AA46 &gt; 1, 1, 0)</f>
        <v>1</v>
      </c>
      <c r="AA48">
        <f t="shared" ref="AA48:AP48" si="58">MOD(AA45+AA46,2)</f>
        <v>0</v>
      </c>
      <c r="AB48">
        <f t="shared" si="58"/>
        <v>0</v>
      </c>
      <c r="AC48">
        <f t="shared" si="58"/>
        <v>0</v>
      </c>
      <c r="AD48">
        <f t="shared" si="58"/>
        <v>0</v>
      </c>
      <c r="AE48">
        <f t="shared" si="58"/>
        <v>1</v>
      </c>
      <c r="AF48">
        <f t="shared" si="58"/>
        <v>0</v>
      </c>
      <c r="AG48">
        <f t="shared" si="58"/>
        <v>1</v>
      </c>
      <c r="AH48">
        <f t="shared" si="58"/>
        <v>0</v>
      </c>
      <c r="AI48">
        <f t="shared" si="58"/>
        <v>0</v>
      </c>
      <c r="AJ48">
        <f t="shared" si="58"/>
        <v>0</v>
      </c>
      <c r="AK48">
        <f t="shared" si="58"/>
        <v>1</v>
      </c>
      <c r="AL48">
        <f t="shared" si="58"/>
        <v>1</v>
      </c>
      <c r="AM48">
        <f t="shared" si="58"/>
        <v>0</v>
      </c>
      <c r="AN48">
        <f t="shared" si="58"/>
        <v>1</v>
      </c>
      <c r="AO48">
        <f t="shared" si="58"/>
        <v>1</v>
      </c>
      <c r="AP48">
        <f t="shared" si="58"/>
        <v>0</v>
      </c>
      <c r="AR48" s="3"/>
      <c r="AS48" s="3"/>
      <c r="AT48" s="3"/>
      <c r="AU48" s="3"/>
      <c r="AV48" s="3"/>
      <c r="AW48" s="3"/>
      <c r="AX48" s="3"/>
    </row>
    <row r="49" spans="7:50" ht="14" x14ac:dyDescent="0.3">
      <c r="G49">
        <f t="shared" ref="G49:U49" si="59">MOD(NOT(G34)+G41,2)</f>
        <v>1</v>
      </c>
      <c r="H49">
        <f t="shared" si="59"/>
        <v>1</v>
      </c>
      <c r="I49">
        <f t="shared" si="59"/>
        <v>1</v>
      </c>
      <c r="J49">
        <f t="shared" si="59"/>
        <v>1</v>
      </c>
      <c r="K49">
        <f t="shared" si="59"/>
        <v>0</v>
      </c>
      <c r="L49">
        <f t="shared" si="59"/>
        <v>1</v>
      </c>
      <c r="M49">
        <f t="shared" si="59"/>
        <v>0</v>
      </c>
      <c r="N49">
        <f t="shared" si="59"/>
        <v>0</v>
      </c>
      <c r="O49">
        <f t="shared" si="59"/>
        <v>1</v>
      </c>
      <c r="P49">
        <f t="shared" si="59"/>
        <v>0</v>
      </c>
      <c r="Q49">
        <f t="shared" si="59"/>
        <v>1</v>
      </c>
      <c r="R49">
        <f t="shared" si="59"/>
        <v>1</v>
      </c>
      <c r="S49">
        <f t="shared" si="59"/>
        <v>1</v>
      </c>
      <c r="T49">
        <f t="shared" si="59"/>
        <v>0</v>
      </c>
      <c r="U49">
        <f t="shared" si="59"/>
        <v>1</v>
      </c>
      <c r="V49">
        <f t="shared" si="51"/>
        <v>0</v>
      </c>
      <c r="AA49">
        <f t="shared" ref="AA49:AN49" si="60">MOD(NOT(AA48) + IF(AND(NOT(AB48), NOT(AB49)),1,0),2)</f>
        <v>1</v>
      </c>
      <c r="AB49">
        <f t="shared" si="60"/>
        <v>1</v>
      </c>
      <c r="AC49">
        <f t="shared" si="60"/>
        <v>1</v>
      </c>
      <c r="AD49">
        <f t="shared" si="60"/>
        <v>1</v>
      </c>
      <c r="AE49">
        <f t="shared" si="60"/>
        <v>0</v>
      </c>
      <c r="AF49">
        <f t="shared" si="60"/>
        <v>1</v>
      </c>
      <c r="AG49">
        <f t="shared" si="60"/>
        <v>0</v>
      </c>
      <c r="AH49">
        <f t="shared" si="60"/>
        <v>1</v>
      </c>
      <c r="AI49">
        <f t="shared" si="60"/>
        <v>1</v>
      </c>
      <c r="AJ49">
        <f t="shared" si="60"/>
        <v>1</v>
      </c>
      <c r="AK49">
        <f t="shared" si="60"/>
        <v>0</v>
      </c>
      <c r="AL49">
        <f t="shared" si="60"/>
        <v>0</v>
      </c>
      <c r="AM49">
        <f t="shared" si="60"/>
        <v>1</v>
      </c>
      <c r="AN49">
        <f t="shared" si="60"/>
        <v>0</v>
      </c>
      <c r="AO49">
        <f>MOD(NOT(AO48)+IF(NOT(AP48)+1 &gt; 1, 1, 0), 2)</f>
        <v>1</v>
      </c>
      <c r="AP49">
        <f>MOD(NOT(AP48) + 1, 2)</f>
        <v>0</v>
      </c>
      <c r="AR49" s="3"/>
      <c r="AS49" s="3"/>
      <c r="AT49" s="3"/>
      <c r="AU49" s="3"/>
      <c r="AV49" s="3"/>
      <c r="AW49" s="3"/>
      <c r="AX49" s="3"/>
    </row>
    <row r="50" spans="7:50" ht="14" x14ac:dyDescent="0.3">
      <c r="Y50" t="s">
        <v>61</v>
      </c>
      <c r="AA50" s="3" t="str">
        <f>IF(NOT(AA48), BIN2HEX($AA48&amp;$AB48&amp;$AC48&amp;AD48), BIN2HEX($AA49&amp;$AB49&amp;$AC49&amp;AD49))</f>
        <v>0</v>
      </c>
      <c r="AB50" s="3"/>
      <c r="AC50" s="3"/>
      <c r="AD50" s="3"/>
      <c r="AE50" s="3" t="str">
        <f>IF(NOT(AA48),BIN2HEX($AE48&amp;$AF48&amp;$AG48&amp;$AH48),BIN2HEX($AE49&amp;$AF49&amp;$AG49&amp;$AH49))</f>
        <v>A</v>
      </c>
      <c r="AF50" s="3"/>
      <c r="AG50" s="3"/>
      <c r="AH50" s="3"/>
      <c r="AI50" s="3" t="str">
        <f>IF(NOT(AA48),BIN2HEX($AI48&amp;$AJ48&amp;$AK48&amp;$AL48), BIN2HEX($AI49&amp;$AJ49&amp;$AK49&amp;$AL49))</f>
        <v>3</v>
      </c>
      <c r="AJ50" s="3"/>
      <c r="AK50" s="3"/>
      <c r="AL50" s="3"/>
      <c r="AM50" s="3" t="str">
        <f>IF(NOT(AA48),BIN2HEX($AM48&amp;$AN48&amp;$AO48&amp;$AP48), BIN2HEX($AM49&amp;$AN49&amp;$AO49&amp;$AP49))</f>
        <v>6</v>
      </c>
      <c r="AN50" s="3"/>
      <c r="AO50" s="3"/>
      <c r="AP50" s="3"/>
      <c r="AR50" s="3"/>
      <c r="AS50" s="3"/>
      <c r="AT50" s="3"/>
      <c r="AU50" s="3"/>
      <c r="AV50" s="3"/>
      <c r="AW50" s="3"/>
      <c r="AX50" s="3"/>
    </row>
    <row r="51" spans="7:50" ht="14" x14ac:dyDescent="0.3">
      <c r="Y51">
        <f>C12+C13</f>
        <v>-62650</v>
      </c>
      <c r="Z51" s="3">
        <f>IF(NOT(AA48), 1, -1) * HEX2DEC(AA50&amp;AE50&amp;AI50&amp;AM50)</f>
        <v>2614</v>
      </c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R51" s="3"/>
      <c r="AS51" s="3"/>
      <c r="AT51" s="3"/>
      <c r="AU51" s="3"/>
      <c r="AV51" s="3"/>
      <c r="AW51" s="3"/>
      <c r="AX51" s="3"/>
    </row>
    <row r="52" spans="7:50" ht="14" x14ac:dyDescent="0.3"/>
    <row r="53" spans="7:50" ht="14" x14ac:dyDescent="0.3"/>
    <row r="54" spans="7:50" ht="14" x14ac:dyDescent="0.3">
      <c r="AA54" t="b">
        <f t="shared" ref="AA54:AN54" si="61">IF(AB55+AB56+AB54 &gt; 1,TRUE())</f>
        <v>0</v>
      </c>
      <c r="AB54" t="b">
        <f t="shared" si="61"/>
        <v>0</v>
      </c>
      <c r="AC54" t="b">
        <f t="shared" si="61"/>
        <v>0</v>
      </c>
      <c r="AD54" t="b">
        <f t="shared" si="61"/>
        <v>0</v>
      </c>
      <c r="AE54" t="b">
        <f t="shared" si="61"/>
        <v>0</v>
      </c>
      <c r="AF54" t="b">
        <f t="shared" si="61"/>
        <v>1</v>
      </c>
      <c r="AG54" t="b">
        <f t="shared" si="61"/>
        <v>1</v>
      </c>
      <c r="AH54" t="b">
        <f t="shared" si="61"/>
        <v>0</v>
      </c>
      <c r="AI54" t="b">
        <f t="shared" si="61"/>
        <v>0</v>
      </c>
      <c r="AJ54" t="b">
        <f t="shared" si="61"/>
        <v>0</v>
      </c>
      <c r="AK54" t="b">
        <f t="shared" si="61"/>
        <v>1</v>
      </c>
      <c r="AL54" t="b">
        <f t="shared" si="61"/>
        <v>0</v>
      </c>
      <c r="AM54" t="b">
        <f t="shared" si="61"/>
        <v>0</v>
      </c>
      <c r="AN54" t="b">
        <f t="shared" si="61"/>
        <v>0</v>
      </c>
      <c r="AO54" t="b">
        <f>IF(AP55+AP56 &gt; 1,TRUE())</f>
        <v>0</v>
      </c>
      <c r="AR54" t="s">
        <v>4</v>
      </c>
      <c r="AS54" t="s">
        <v>5</v>
      </c>
      <c r="AT54" t="s">
        <v>6</v>
      </c>
      <c r="AU54" t="s">
        <v>7</v>
      </c>
      <c r="AV54" t="s">
        <v>8</v>
      </c>
      <c r="AW54" t="s">
        <v>9</v>
      </c>
    </row>
    <row r="55" spans="7:50" ht="14" x14ac:dyDescent="0.3">
      <c r="Y55" t="str">
        <f>E5</f>
        <v xml:space="preserve">B1 = </v>
      </c>
      <c r="AA55">
        <f t="shared" ref="AA55:AP55" si="62">H5</f>
        <v>0</v>
      </c>
      <c r="AB55">
        <f t="shared" si="62"/>
        <v>0</v>
      </c>
      <c r="AC55">
        <f t="shared" si="62"/>
        <v>0</v>
      </c>
      <c r="AD55">
        <f t="shared" si="62"/>
        <v>0</v>
      </c>
      <c r="AE55">
        <f t="shared" si="62"/>
        <v>1</v>
      </c>
      <c r="AF55">
        <f t="shared" si="62"/>
        <v>0</v>
      </c>
      <c r="AG55">
        <f t="shared" si="62"/>
        <v>1</v>
      </c>
      <c r="AH55">
        <f t="shared" si="62"/>
        <v>1</v>
      </c>
      <c r="AI55">
        <f t="shared" si="62"/>
        <v>1</v>
      </c>
      <c r="AJ55">
        <f t="shared" si="62"/>
        <v>0</v>
      </c>
      <c r="AK55">
        <f t="shared" si="62"/>
        <v>0</v>
      </c>
      <c r="AL55">
        <f t="shared" si="62"/>
        <v>1</v>
      </c>
      <c r="AM55">
        <f t="shared" si="62"/>
        <v>0</v>
      </c>
      <c r="AN55">
        <f t="shared" si="62"/>
        <v>1</v>
      </c>
      <c r="AO55">
        <f t="shared" si="62"/>
        <v>0</v>
      </c>
      <c r="AP55">
        <f t="shared" si="62"/>
        <v>0</v>
      </c>
      <c r="AR55">
        <f>Z58</f>
        <v>0</v>
      </c>
      <c r="AS55">
        <f>IF(AND(AA55 = AA56, NOT(AA56 = AA58)), 1, 0)</f>
        <v>0</v>
      </c>
      <c r="AT55">
        <f>IF(Z61 = 0,1,0)</f>
        <v>0</v>
      </c>
      <c r="AU55">
        <f>IF(AM54+AM55+AM56 &gt; 1, 1, 0)</f>
        <v>0</v>
      </c>
      <c r="AV55">
        <f>IF(AA58,0,1)</f>
        <v>1</v>
      </c>
      <c r="AW55">
        <f>IF(MOD(SUM(AM58:AP58),2) = 0, 1,0)</f>
        <v>0</v>
      </c>
    </row>
    <row r="56" spans="7:50" ht="14" x14ac:dyDescent="0.3">
      <c r="Y56" t="str">
        <f>E12</f>
        <v xml:space="preserve">B8 = </v>
      </c>
      <c r="AA56">
        <f t="shared" ref="AA56:AP56" si="63">H12</f>
        <v>0</v>
      </c>
      <c r="AB56">
        <f t="shared" si="63"/>
        <v>0</v>
      </c>
      <c r="AC56">
        <f t="shared" si="63"/>
        <v>0</v>
      </c>
      <c r="AD56">
        <f t="shared" si="63"/>
        <v>1</v>
      </c>
      <c r="AE56">
        <f t="shared" si="63"/>
        <v>0</v>
      </c>
      <c r="AF56">
        <f t="shared" si="63"/>
        <v>0</v>
      </c>
      <c r="AG56">
        <f t="shared" si="63"/>
        <v>0</v>
      </c>
      <c r="AH56">
        <f t="shared" si="63"/>
        <v>1</v>
      </c>
      <c r="AI56">
        <f t="shared" si="63"/>
        <v>0</v>
      </c>
      <c r="AJ56">
        <f t="shared" si="63"/>
        <v>0</v>
      </c>
      <c r="AK56">
        <f t="shared" si="63"/>
        <v>0</v>
      </c>
      <c r="AL56">
        <f t="shared" si="63"/>
        <v>1</v>
      </c>
      <c r="AM56">
        <f t="shared" si="63"/>
        <v>0</v>
      </c>
      <c r="AN56">
        <f t="shared" si="63"/>
        <v>0</v>
      </c>
      <c r="AO56">
        <f t="shared" si="63"/>
        <v>0</v>
      </c>
      <c r="AP56">
        <f t="shared" si="63"/>
        <v>0</v>
      </c>
    </row>
    <row r="57" spans="7:50" ht="14" x14ac:dyDescent="0.3">
      <c r="Y57" t="s">
        <v>19</v>
      </c>
      <c r="Z57" t="s">
        <v>20</v>
      </c>
      <c r="AA57" t="s">
        <v>21</v>
      </c>
      <c r="AB57" t="s">
        <v>21</v>
      </c>
      <c r="AC57" t="s">
        <v>21</v>
      </c>
      <c r="AD57" t="s">
        <v>21</v>
      </c>
      <c r="AE57" t="s">
        <v>21</v>
      </c>
      <c r="AF57" t="s">
        <v>21</v>
      </c>
      <c r="AG57" t="s">
        <v>21</v>
      </c>
      <c r="AH57" t="s">
        <v>21</v>
      </c>
      <c r="AI57" t="s">
        <v>21</v>
      </c>
      <c r="AJ57" t="s">
        <v>21</v>
      </c>
      <c r="AK57" t="s">
        <v>21</v>
      </c>
      <c r="AL57" t="s">
        <v>21</v>
      </c>
      <c r="AM57" t="s">
        <v>21</v>
      </c>
      <c r="AN57" t="s">
        <v>21</v>
      </c>
      <c r="AO57" t="s">
        <v>21</v>
      </c>
      <c r="AP57" t="s">
        <v>21</v>
      </c>
      <c r="AR57" s="3" t="str">
        <f>"при сумме "&amp;IF(AA55=AA56,IF(AA55,"отрицательных","положительных"),"")&amp;CHAR(10)&amp;"чисел "&amp;" получено "&amp;IF(AA58,"отрицательное","положительное")&amp;"  число."&amp;CHAR(10)&amp;IF(NOT(AR55),"Не происходит перноса","Происходит перенос")&amp;CHAR(10)&amp;"и "&amp;IF(NOT(AS55),"не происходит переполнения","происходит переполнение")&amp;"."&amp;CHAR(10)&amp;"Выражение вычислено "&amp;IF(Y61=Z61,"корректно","некорректно")</f>
        <v>при сумме положительных
чисел  получено положительное  число.
Не происходит перноса
и не происходит переполнения.
Выражение вычислено некорректно</v>
      </c>
      <c r="AS57" s="3"/>
      <c r="AT57" s="3"/>
      <c r="AU57" s="3"/>
      <c r="AV57" s="3"/>
      <c r="AW57" s="3"/>
      <c r="AX57" s="3"/>
    </row>
    <row r="58" spans="7:50" ht="14" x14ac:dyDescent="0.3">
      <c r="Y58" t="s">
        <v>62</v>
      </c>
      <c r="Z58">
        <f>IF(AA54+AA55+AA56 &gt; 1, 1, 0)</f>
        <v>0</v>
      </c>
      <c r="AA58">
        <f t="shared" ref="AA58:AP58" si="64">MOD(AA55+AA56,2)</f>
        <v>0</v>
      </c>
      <c r="AB58">
        <f t="shared" si="64"/>
        <v>0</v>
      </c>
      <c r="AC58">
        <f t="shared" si="64"/>
        <v>0</v>
      </c>
      <c r="AD58">
        <f t="shared" si="64"/>
        <v>1</v>
      </c>
      <c r="AE58">
        <f t="shared" si="64"/>
        <v>1</v>
      </c>
      <c r="AF58">
        <f t="shared" si="64"/>
        <v>0</v>
      </c>
      <c r="AG58">
        <f t="shared" si="64"/>
        <v>1</v>
      </c>
      <c r="AH58">
        <f t="shared" si="64"/>
        <v>0</v>
      </c>
      <c r="AI58">
        <f t="shared" si="64"/>
        <v>1</v>
      </c>
      <c r="AJ58">
        <f t="shared" si="64"/>
        <v>0</v>
      </c>
      <c r="AK58">
        <f t="shared" si="64"/>
        <v>0</v>
      </c>
      <c r="AL58">
        <f t="shared" si="64"/>
        <v>0</v>
      </c>
      <c r="AM58">
        <f t="shared" si="64"/>
        <v>0</v>
      </c>
      <c r="AN58">
        <f t="shared" si="64"/>
        <v>1</v>
      </c>
      <c r="AO58">
        <f t="shared" si="64"/>
        <v>0</v>
      </c>
      <c r="AP58">
        <f t="shared" si="64"/>
        <v>0</v>
      </c>
      <c r="AR58" s="3"/>
      <c r="AS58" s="3"/>
      <c r="AT58" s="3"/>
      <c r="AU58" s="3"/>
      <c r="AV58" s="3"/>
      <c r="AW58" s="3"/>
      <c r="AX58" s="3"/>
    </row>
    <row r="59" spans="7:50" ht="14" x14ac:dyDescent="0.3">
      <c r="AA59">
        <f t="shared" ref="AA59:AN59" si="65">MOD(NOT(AA58) + IF(AND(NOT(AB58), NOT(AB59)),1,0),2)</f>
        <v>1</v>
      </c>
      <c r="AB59">
        <f t="shared" si="65"/>
        <v>1</v>
      </c>
      <c r="AC59">
        <f t="shared" si="65"/>
        <v>1</v>
      </c>
      <c r="AD59">
        <f t="shared" si="65"/>
        <v>0</v>
      </c>
      <c r="AE59">
        <f t="shared" si="65"/>
        <v>0</v>
      </c>
      <c r="AF59">
        <f t="shared" si="65"/>
        <v>1</v>
      </c>
      <c r="AG59">
        <f t="shared" si="65"/>
        <v>0</v>
      </c>
      <c r="AH59">
        <f t="shared" si="65"/>
        <v>1</v>
      </c>
      <c r="AI59">
        <f t="shared" si="65"/>
        <v>0</v>
      </c>
      <c r="AJ59">
        <f t="shared" si="65"/>
        <v>1</v>
      </c>
      <c r="AK59">
        <f t="shared" si="65"/>
        <v>1</v>
      </c>
      <c r="AL59">
        <f t="shared" si="65"/>
        <v>1</v>
      </c>
      <c r="AM59">
        <f t="shared" si="65"/>
        <v>1</v>
      </c>
      <c r="AN59">
        <f t="shared" si="65"/>
        <v>1</v>
      </c>
      <c r="AO59">
        <f>MOD(NOT(AO58)+IF(NOT(AP58)+1 &gt; 1, 1, 0), 2)</f>
        <v>0</v>
      </c>
      <c r="AP59">
        <f>MOD(NOT(AP58) + 1, 2)</f>
        <v>0</v>
      </c>
      <c r="AR59" s="3"/>
      <c r="AS59" s="3"/>
      <c r="AT59" s="3"/>
      <c r="AU59" s="3"/>
      <c r="AV59" s="3"/>
      <c r="AW59" s="3"/>
      <c r="AX59" s="3"/>
    </row>
    <row r="60" spans="7:50" ht="14" x14ac:dyDescent="0.3">
      <c r="Y60" t="s">
        <v>63</v>
      </c>
      <c r="AA60" s="3" t="str">
        <f>IF(NOT(AA58), BIN2HEX($AA58&amp;$AB58&amp;$AC58&amp;AD58), BIN2HEX($AA59&amp;$AB59&amp;$AC59&amp;AD59))</f>
        <v>1</v>
      </c>
      <c r="AB60" s="3"/>
      <c r="AC60" s="3"/>
      <c r="AD60" s="3"/>
      <c r="AE60" s="3" t="str">
        <f>IF(NOT(AA58),BIN2HEX($AE58&amp;$AF58&amp;$AG58&amp;$AH58),BIN2HEX($AE59&amp;$AF59&amp;$AG59&amp;$AH59))</f>
        <v>A</v>
      </c>
      <c r="AF60" s="3"/>
      <c r="AG60" s="3"/>
      <c r="AH60" s="3"/>
      <c r="AI60" s="3" t="str">
        <f>IF(NOT(AA58),BIN2HEX($AI58&amp;$AJ58&amp;$AK58&amp;$AL58), BIN2HEX($AI59&amp;$AJ59&amp;$AK59&amp;$AL59))</f>
        <v>8</v>
      </c>
      <c r="AJ60" s="3"/>
      <c r="AK60" s="3"/>
      <c r="AL60" s="3"/>
      <c r="AM60" s="3" t="str">
        <f>IF(NOT(AA58),BIN2HEX($AM58&amp;$AN58&amp;$AO58&amp;$AP58), BIN2HEX($AM59&amp;$AN59&amp;$AO59&amp;$AP59))</f>
        <v>4</v>
      </c>
      <c r="AN60" s="3"/>
      <c r="AO60" s="3"/>
      <c r="AP60" s="3"/>
      <c r="AR60" s="3"/>
      <c r="AS60" s="3"/>
      <c r="AT60" s="3"/>
      <c r="AU60" s="3"/>
      <c r="AV60" s="3"/>
      <c r="AW60" s="3"/>
      <c r="AX60" s="3"/>
    </row>
    <row r="61" spans="7:50" ht="14" x14ac:dyDescent="0.3">
      <c r="Y61">
        <f>C12+C15</f>
        <v>-59686</v>
      </c>
      <c r="Z61" s="3">
        <f>IF(NOT(AA58), 1, -1) * HEX2DEC(AA60&amp;AE60&amp;AI60&amp;AM60)</f>
        <v>6788</v>
      </c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R61" s="3"/>
      <c r="AS61" s="3"/>
      <c r="AT61" s="3"/>
      <c r="AU61" s="3"/>
      <c r="AV61" s="3"/>
      <c r="AW61" s="3"/>
      <c r="AX61" s="3"/>
    </row>
    <row r="62" spans="7:50" ht="14" x14ac:dyDescent="0.3"/>
    <row r="63" spans="7:50" ht="14" x14ac:dyDescent="0.3"/>
    <row r="64" spans="7:50" ht="14" x14ac:dyDescent="0.3">
      <c r="AA64" t="b">
        <f t="shared" ref="AA64:AN64" si="66">IF(AB65+AB66+AB64 &gt; 1,TRUE())</f>
        <v>1</v>
      </c>
      <c r="AB64" t="b">
        <f t="shared" si="66"/>
        <v>1</v>
      </c>
      <c r="AC64" t="b">
        <f t="shared" si="66"/>
        <v>1</v>
      </c>
      <c r="AD64" t="b">
        <f t="shared" si="66"/>
        <v>1</v>
      </c>
      <c r="AE64" t="b">
        <f t="shared" si="66"/>
        <v>0</v>
      </c>
      <c r="AF64" t="b">
        <f t="shared" si="66"/>
        <v>0</v>
      </c>
      <c r="AG64" t="b">
        <f t="shared" si="66"/>
        <v>0</v>
      </c>
      <c r="AH64" t="b">
        <f t="shared" si="66"/>
        <v>1</v>
      </c>
      <c r="AI64" t="b">
        <f t="shared" si="66"/>
        <v>0</v>
      </c>
      <c r="AJ64" t="b">
        <f t="shared" si="66"/>
        <v>0</v>
      </c>
      <c r="AK64" t="b">
        <f t="shared" si="66"/>
        <v>0</v>
      </c>
      <c r="AL64" t="b">
        <f t="shared" si="66"/>
        <v>0</v>
      </c>
      <c r="AM64" t="b">
        <f t="shared" si="66"/>
        <v>1</v>
      </c>
      <c r="AN64" t="b">
        <f t="shared" si="66"/>
        <v>0</v>
      </c>
      <c r="AO64" t="b">
        <f>IF(AP65+AP66 &gt; 1,TRUE())</f>
        <v>0</v>
      </c>
      <c r="AR64" t="s">
        <v>4</v>
      </c>
      <c r="AS64" t="s">
        <v>5</v>
      </c>
      <c r="AT64" t="s">
        <v>6</v>
      </c>
      <c r="AU64" t="s">
        <v>7</v>
      </c>
      <c r="AV64" t="s">
        <v>8</v>
      </c>
      <c r="AW64" t="s">
        <v>9</v>
      </c>
    </row>
    <row r="65" spans="25:50" ht="14" x14ac:dyDescent="0.3">
      <c r="Y65" t="str">
        <f>E7</f>
        <v xml:space="preserve">B3 = </v>
      </c>
      <c r="AA65">
        <f t="shared" ref="AA65:AP65" si="67">H7</f>
        <v>1</v>
      </c>
      <c r="AB65">
        <f t="shared" si="67"/>
        <v>1</v>
      </c>
      <c r="AC65">
        <f t="shared" si="67"/>
        <v>1</v>
      </c>
      <c r="AD65">
        <f t="shared" si="67"/>
        <v>1</v>
      </c>
      <c r="AE65">
        <f t="shared" si="67"/>
        <v>1</v>
      </c>
      <c r="AF65">
        <f t="shared" si="67"/>
        <v>0</v>
      </c>
      <c r="AG65">
        <f t="shared" si="67"/>
        <v>1</v>
      </c>
      <c r="AH65">
        <f t="shared" si="67"/>
        <v>0</v>
      </c>
      <c r="AI65">
        <f t="shared" si="67"/>
        <v>1</v>
      </c>
      <c r="AJ65">
        <f t="shared" si="67"/>
        <v>0</v>
      </c>
      <c r="AK65">
        <f t="shared" si="67"/>
        <v>0</v>
      </c>
      <c r="AL65">
        <f t="shared" si="67"/>
        <v>0</v>
      </c>
      <c r="AM65">
        <f t="shared" si="67"/>
        <v>0</v>
      </c>
      <c r="AN65">
        <f t="shared" si="67"/>
        <v>1</v>
      </c>
      <c r="AO65">
        <f t="shared" si="67"/>
        <v>0</v>
      </c>
      <c r="AP65">
        <f t="shared" si="67"/>
        <v>0</v>
      </c>
      <c r="AR65">
        <f>Z68</f>
        <v>1</v>
      </c>
      <c r="AS65">
        <f>IF(AND(AA65 = AA66, NOT(AA66 = AA68)), 1, 0)</f>
        <v>0</v>
      </c>
      <c r="AT65">
        <f>IF(Z71 = 0,1,0)</f>
        <v>0</v>
      </c>
      <c r="AU65">
        <f>IF(AM64+AM65+AM66 &gt; 1, 1, 0)</f>
        <v>0</v>
      </c>
      <c r="AV65">
        <f>IF(AA68,0,1)</f>
        <v>0</v>
      </c>
      <c r="AW65">
        <f>IF(MOD(SUM(AM68:AP68),2) = 0, 1,0)</f>
        <v>1</v>
      </c>
    </row>
    <row r="66" spans="25:50" ht="14" x14ac:dyDescent="0.3">
      <c r="Y66" t="str">
        <f>E15</f>
        <v xml:space="preserve">B11 = </v>
      </c>
      <c r="AA66">
        <f t="shared" ref="AA66:AP66" si="68">H15</f>
        <v>0</v>
      </c>
      <c r="AB66">
        <f t="shared" si="68"/>
        <v>0</v>
      </c>
      <c r="AC66">
        <f t="shared" si="68"/>
        <v>0</v>
      </c>
      <c r="AD66">
        <f t="shared" si="68"/>
        <v>1</v>
      </c>
      <c r="AE66">
        <f t="shared" si="68"/>
        <v>1</v>
      </c>
      <c r="AF66">
        <f t="shared" si="68"/>
        <v>1</v>
      </c>
      <c r="AG66">
        <f t="shared" si="68"/>
        <v>0</v>
      </c>
      <c r="AH66">
        <f t="shared" si="68"/>
        <v>0</v>
      </c>
      <c r="AI66">
        <f t="shared" si="68"/>
        <v>1</v>
      </c>
      <c r="AJ66">
        <f t="shared" si="68"/>
        <v>0</v>
      </c>
      <c r="AK66">
        <f t="shared" si="68"/>
        <v>1</v>
      </c>
      <c r="AL66">
        <f t="shared" si="68"/>
        <v>0</v>
      </c>
      <c r="AM66">
        <f t="shared" si="68"/>
        <v>0</v>
      </c>
      <c r="AN66">
        <f t="shared" si="68"/>
        <v>1</v>
      </c>
      <c r="AO66">
        <f t="shared" si="68"/>
        <v>0</v>
      </c>
      <c r="AP66">
        <f t="shared" si="68"/>
        <v>0</v>
      </c>
    </row>
    <row r="67" spans="25:50" ht="14" x14ac:dyDescent="0.3">
      <c r="Y67" t="s">
        <v>19</v>
      </c>
      <c r="Z67" t="s">
        <v>20</v>
      </c>
      <c r="AA67" t="s">
        <v>21</v>
      </c>
      <c r="AB67" t="s">
        <v>21</v>
      </c>
      <c r="AC67" t="s">
        <v>21</v>
      </c>
      <c r="AD67" t="s">
        <v>21</v>
      </c>
      <c r="AE67" t="s">
        <v>21</v>
      </c>
      <c r="AF67" t="s">
        <v>21</v>
      </c>
      <c r="AG67" t="s">
        <v>21</v>
      </c>
      <c r="AH67" t="s">
        <v>21</v>
      </c>
      <c r="AI67" t="s">
        <v>21</v>
      </c>
      <c r="AJ67" t="s">
        <v>21</v>
      </c>
      <c r="AK67" t="s">
        <v>21</v>
      </c>
      <c r="AL67" t="s">
        <v>21</v>
      </c>
      <c r="AM67" t="s">
        <v>21</v>
      </c>
      <c r="AN67" t="s">
        <v>21</v>
      </c>
      <c r="AO67" t="s">
        <v>21</v>
      </c>
      <c r="AP67" t="s">
        <v>21</v>
      </c>
      <c r="AR67" s="3" t="str">
        <f>"при сумме "&amp;IF(AA65=AA66,IF(AA65,"отрицательных","положительных"),"")&amp;CHAR(10)&amp;"чисел "&amp;" получено "&amp;IF(AA68,"отрицательное","положительное")&amp;"  число."&amp;CHAR(10)&amp;IF(NOT(AR65),"Не происходит перноса","Происходит перенос")&amp;CHAR(10)&amp;"и "&amp;IF(NOT(AS65),"не происходит переполнения","происходит переполнение")&amp;"."&amp;CHAR(10)&amp;"Выражение вычислено "&amp;IF(Y71=Z71,"корректно","некорректно")</f>
        <v>при сумме 
чисел  получено отрицательное  число.
Происходит перенос
и не происходит переполнения.
Выражение вычислено некорректно</v>
      </c>
      <c r="AS67" s="3"/>
      <c r="AT67" s="3"/>
      <c r="AU67" s="3"/>
      <c r="AV67" s="3"/>
      <c r="AW67" s="3"/>
      <c r="AX67" s="3"/>
    </row>
    <row r="68" spans="25:50" ht="14" x14ac:dyDescent="0.3">
      <c r="Y68" t="s">
        <v>64</v>
      </c>
      <c r="Z68">
        <f>IF(AA64+AA65+AA66 &gt; 1, 1, 0)</f>
        <v>1</v>
      </c>
      <c r="AA68">
        <f t="shared" ref="AA68:AP68" si="69">MOD(AA65+AA66,2)</f>
        <v>1</v>
      </c>
      <c r="AB68">
        <f t="shared" si="69"/>
        <v>1</v>
      </c>
      <c r="AC68">
        <f t="shared" si="69"/>
        <v>1</v>
      </c>
      <c r="AD68">
        <f t="shared" si="69"/>
        <v>0</v>
      </c>
      <c r="AE68">
        <f t="shared" si="69"/>
        <v>0</v>
      </c>
      <c r="AF68">
        <f t="shared" si="69"/>
        <v>1</v>
      </c>
      <c r="AG68">
        <f t="shared" si="69"/>
        <v>1</v>
      </c>
      <c r="AH68">
        <f t="shared" si="69"/>
        <v>0</v>
      </c>
      <c r="AI68">
        <f t="shared" si="69"/>
        <v>0</v>
      </c>
      <c r="AJ68">
        <f t="shared" si="69"/>
        <v>0</v>
      </c>
      <c r="AK68">
        <f t="shared" si="69"/>
        <v>1</v>
      </c>
      <c r="AL68">
        <f t="shared" si="69"/>
        <v>0</v>
      </c>
      <c r="AM68">
        <f t="shared" si="69"/>
        <v>0</v>
      </c>
      <c r="AN68">
        <f t="shared" si="69"/>
        <v>0</v>
      </c>
      <c r="AO68">
        <f t="shared" si="69"/>
        <v>0</v>
      </c>
      <c r="AP68">
        <f t="shared" si="69"/>
        <v>0</v>
      </c>
      <c r="AR68" s="3"/>
      <c r="AS68" s="3"/>
      <c r="AT68" s="3"/>
      <c r="AU68" s="3"/>
      <c r="AV68" s="3"/>
      <c r="AW68" s="3"/>
      <c r="AX68" s="3"/>
    </row>
    <row r="69" spans="25:50" ht="14" x14ac:dyDescent="0.3">
      <c r="AA69">
        <f t="shared" ref="AA69:AN69" si="70">MOD(NOT(AA68) + IF(AND(NOT(AB68), NOT(AB69)),1,0),2)</f>
        <v>0</v>
      </c>
      <c r="AB69">
        <f t="shared" si="70"/>
        <v>0</v>
      </c>
      <c r="AC69">
        <f t="shared" si="70"/>
        <v>0</v>
      </c>
      <c r="AD69">
        <f t="shared" si="70"/>
        <v>1</v>
      </c>
      <c r="AE69">
        <f t="shared" si="70"/>
        <v>1</v>
      </c>
      <c r="AF69">
        <f t="shared" si="70"/>
        <v>0</v>
      </c>
      <c r="AG69">
        <f t="shared" si="70"/>
        <v>0</v>
      </c>
      <c r="AH69">
        <f t="shared" si="70"/>
        <v>1</v>
      </c>
      <c r="AI69">
        <f t="shared" si="70"/>
        <v>1</v>
      </c>
      <c r="AJ69">
        <f t="shared" si="70"/>
        <v>1</v>
      </c>
      <c r="AK69">
        <f t="shared" si="70"/>
        <v>1</v>
      </c>
      <c r="AL69">
        <f t="shared" si="70"/>
        <v>0</v>
      </c>
      <c r="AM69">
        <f t="shared" si="70"/>
        <v>0</v>
      </c>
      <c r="AN69">
        <f t="shared" si="70"/>
        <v>0</v>
      </c>
      <c r="AO69">
        <f>MOD(NOT(AO68)+IF(NOT(AP68)+1 &gt; 1, 1, 0), 2)</f>
        <v>0</v>
      </c>
      <c r="AP69">
        <f>MOD(NOT(AP68) + 1, 2)</f>
        <v>0</v>
      </c>
      <c r="AR69" s="3"/>
      <c r="AS69" s="3"/>
      <c r="AT69" s="3"/>
      <c r="AU69" s="3"/>
      <c r="AV69" s="3"/>
      <c r="AW69" s="3"/>
      <c r="AX69" s="3"/>
    </row>
    <row r="70" spans="25:50" ht="14" x14ac:dyDescent="0.3">
      <c r="Y70" t="s">
        <v>65</v>
      </c>
      <c r="AA70" s="3" t="str">
        <f>IF(NOT(AA68), BIN2HEX($AA68&amp;$AB68&amp;$AC68&amp;AD68), BIN2HEX($AA69&amp;$AB69&amp;$AC69&amp;AD69))</f>
        <v>1</v>
      </c>
      <c r="AB70" s="3"/>
      <c r="AC70" s="3"/>
      <c r="AD70" s="3"/>
      <c r="AE70" s="3" t="str">
        <f>IF(NOT(AA68),BIN2HEX($AE68&amp;$AF68&amp;$AG68&amp;$AH68),BIN2HEX($AE69&amp;$AF69&amp;$AG69&amp;$AH69))</f>
        <v>9</v>
      </c>
      <c r="AF70" s="3"/>
      <c r="AG70" s="3"/>
      <c r="AH70" s="3"/>
      <c r="AI70" s="3" t="str">
        <f>IF(NOT(AA68),BIN2HEX($AI68&amp;$AJ68&amp;$AK68&amp;$AL68), BIN2HEX($AI69&amp;$AJ69&amp;$AK69&amp;$AL69))</f>
        <v>E</v>
      </c>
      <c r="AJ70" s="3"/>
      <c r="AK70" s="3"/>
      <c r="AL70" s="3"/>
      <c r="AM70" s="3" t="str">
        <f>IF(NOT(AA68),BIN2HEX($AM68&amp;$AN68&amp;$AO68&amp;$AP68), BIN2HEX($AM69&amp;$AN69&amp;$AO69&amp;$AP69))</f>
        <v>0</v>
      </c>
      <c r="AN70" s="3"/>
      <c r="AO70" s="3"/>
      <c r="AP70" s="3"/>
      <c r="AR70" s="3"/>
      <c r="AS70" s="3"/>
      <c r="AT70" s="3"/>
      <c r="AU70" s="3"/>
      <c r="AV70" s="3"/>
      <c r="AW70" s="3"/>
      <c r="AX70" s="3"/>
    </row>
    <row r="71" spans="25:50" ht="14" x14ac:dyDescent="0.3">
      <c r="Y71">
        <f>C7+C15</f>
        <v>2964</v>
      </c>
      <c r="Z71" s="3">
        <f>IF(NOT(AA68), 1, -1) * HEX2DEC(AA70&amp;AE70&amp;AI70&amp;AM70)</f>
        <v>-6624</v>
      </c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R71" s="3"/>
      <c r="AS71" s="3"/>
      <c r="AT71" s="3"/>
      <c r="AU71" s="3"/>
      <c r="AV71" s="3"/>
      <c r="AW71" s="3"/>
      <c r="AX71" s="3"/>
    </row>
  </sheetData>
  <mergeCells count="44">
    <mergeCell ref="AR67:AX71"/>
    <mergeCell ref="AA70:AD70"/>
    <mergeCell ref="AE70:AH70"/>
    <mergeCell ref="AI70:AL70"/>
    <mergeCell ref="AM70:AP70"/>
    <mergeCell ref="Z71:AP71"/>
    <mergeCell ref="AR57:AX61"/>
    <mergeCell ref="AA60:AD60"/>
    <mergeCell ref="AE60:AH60"/>
    <mergeCell ref="AI60:AL60"/>
    <mergeCell ref="AM60:AP60"/>
    <mergeCell ref="Z61:AP61"/>
    <mergeCell ref="G43:V43"/>
    <mergeCell ref="AR47:AX51"/>
    <mergeCell ref="AA50:AD50"/>
    <mergeCell ref="AE50:AH50"/>
    <mergeCell ref="AI50:AL50"/>
    <mergeCell ref="AM50:AP50"/>
    <mergeCell ref="Z51:AP51"/>
    <mergeCell ref="G35:U35"/>
    <mergeCell ref="AR37:AX41"/>
    <mergeCell ref="AA40:AD40"/>
    <mergeCell ref="AE40:AH40"/>
    <mergeCell ref="AI40:AL40"/>
    <mergeCell ref="AM40:AP40"/>
    <mergeCell ref="Z41:AP41"/>
    <mergeCell ref="AR27:AX31"/>
    <mergeCell ref="AA30:AD30"/>
    <mergeCell ref="AE30:AH30"/>
    <mergeCell ref="AI30:AL30"/>
    <mergeCell ref="AM30:AP30"/>
    <mergeCell ref="Z31:AP31"/>
    <mergeCell ref="AR17:AX21"/>
    <mergeCell ref="AA20:AD20"/>
    <mergeCell ref="AE20:AH20"/>
    <mergeCell ref="AI20:AL20"/>
    <mergeCell ref="AM20:AP20"/>
    <mergeCell ref="Z21:AP21"/>
    <mergeCell ref="AR7:AX11"/>
    <mergeCell ref="AA10:AD10"/>
    <mergeCell ref="AE10:AH10"/>
    <mergeCell ref="AI10:AL10"/>
    <mergeCell ref="AM10:AP10"/>
    <mergeCell ref="Z11:AP11"/>
  </mergeCells>
  <phoneticPr fontId="18" type="noConversion"/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&amp;CВеселов Фёдор Евгеньевич, Вариант 7, ЛР5</oddHeader>
    <oddFooter>&amp;C10.12.2025 14:45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Fedor</dc:creator>
  <dc:description/>
  <cp:lastModifiedBy>Фёдор Веселов</cp:lastModifiedBy>
  <cp:revision>19</cp:revision>
  <dcterms:created xsi:type="dcterms:W3CDTF">2025-12-09T20:14:52Z</dcterms:created>
  <dcterms:modified xsi:type="dcterms:W3CDTF">2025-12-18T14:11:40Z</dcterms:modified>
  <dc:language>ru-RU</dc:language>
</cp:coreProperties>
</file>
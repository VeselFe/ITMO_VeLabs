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ca7ffefce86dfb/ИТМО/Лабы_по_ОПД/Лаб №3/"/>
    </mc:Choice>
  </mc:AlternateContent>
  <xr:revisionPtr revIDLastSave="249" documentId="13_ncr:1_{79E27F2D-F326-48E6-A91F-A2300CDCBA5C}" xr6:coauthVersionLast="47" xr6:coauthVersionMax="47" xr10:uidLastSave="{9E9AC5F5-1BD3-4685-B441-022C997D43F4}"/>
  <bookViews>
    <workbookView xWindow="-110" yWindow="-110" windowWidth="25820" windowHeight="15500" activeTab="2" xr2:uid="{40B65A8A-8160-4BA4-8131-F2971E381DDC}"/>
  </bookViews>
  <sheets>
    <sheet name="Лист1" sheetId="1" r:id="rId1"/>
    <sheet name="trace" sheetId="3" state="hidden" r:id="rId2"/>
    <sheet name="Лист2" sheetId="2" r:id="rId3"/>
  </sheets>
  <definedNames>
    <definedName name="ExternalData_1" localSheetId="1" hidden="1">trace!$A$1:$J$34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1" i="1"/>
  <c r="E2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325512-194F-4286-87BE-B30914312F15}" keepAlive="1" name="Запрос — trace" description="Соединение с запросом &quot;trace&quot; в книге." type="5" refreshedVersion="8" background="1" saveData="1">
    <dbPr connection="Provider=Microsoft.Mashup.OleDb.1;Data Source=$Workbook$;Location=trace;Extended Properties=&quot;&quot;" command="SELECT * FROM [trace]"/>
  </connection>
</connections>
</file>

<file path=xl/sharedStrings.xml><?xml version="1.0" encoding="utf-8"?>
<sst xmlns="http://schemas.openxmlformats.org/spreadsheetml/2006/main" count="728" uniqueCount="205">
  <si>
    <t>Код</t>
  </si>
  <si>
    <t>033E</t>
  </si>
  <si>
    <t>A000</t>
  </si>
  <si>
    <t>E000</t>
  </si>
  <si>
    <t>0200</t>
  </si>
  <si>
    <t>EEFD</t>
  </si>
  <si>
    <t>AF04</t>
  </si>
  <si>
    <t>EEFA</t>
  </si>
  <si>
    <t>4EF7</t>
  </si>
  <si>
    <t>EEF7</t>
  </si>
  <si>
    <t>ABF6</t>
  </si>
  <si>
    <t>0480</t>
  </si>
  <si>
    <t>F401</t>
  </si>
  <si>
    <t>CE02</t>
  </si>
  <si>
    <t>0400</t>
  </si>
  <si>
    <t>3AF3</t>
  </si>
  <si>
    <t>832D</t>
  </si>
  <si>
    <t>CEF8</t>
  </si>
  <si>
    <t>0100</t>
  </si>
  <si>
    <t>F601</t>
  </si>
  <si>
    <t>0701</t>
  </si>
  <si>
    <t>0801</t>
  </si>
  <si>
    <t>CE01</t>
  </si>
  <si>
    <t>Адрес</t>
  </si>
  <si>
    <t>Мнемоника</t>
  </si>
  <si>
    <t>IP</t>
  </si>
  <si>
    <t>CR</t>
  </si>
  <si>
    <t>AR</t>
  </si>
  <si>
    <t>DR</t>
  </si>
  <si>
    <t>BR</t>
  </si>
  <si>
    <t>AC</t>
  </si>
  <si>
    <t>NZVC</t>
  </si>
  <si>
    <t>Ячейка</t>
  </si>
  <si>
    <t>32B</t>
  </si>
  <si>
    <t>32C</t>
  </si>
  <si>
    <t>32E</t>
  </si>
  <si>
    <t>32F</t>
  </si>
  <si>
    <t>32D</t>
  </si>
  <si>
    <t>33A</t>
  </si>
  <si>
    <t>33B</t>
  </si>
  <si>
    <t>33C</t>
  </si>
  <si>
    <t>33D</t>
  </si>
  <si>
    <t>33E</t>
  </si>
  <si>
    <t>33F</t>
  </si>
  <si>
    <t>CLA</t>
  </si>
  <si>
    <t>Измененные ячейки</t>
  </si>
  <si>
    <t>X1</t>
  </si>
  <si>
    <t>0000</t>
  </si>
  <si>
    <t>Расшифровка</t>
  </si>
  <si>
    <t>0 -&gt; AC</t>
  </si>
  <si>
    <t>LD 004</t>
  </si>
  <si>
    <t>X2</t>
  </si>
  <si>
    <t>X3</t>
  </si>
  <si>
    <t>ST (335 + F7)</t>
  </si>
  <si>
    <t>LD (336 + F6)--</t>
  </si>
  <si>
    <t>ROR</t>
  </si>
  <si>
    <t>BCS</t>
  </si>
  <si>
    <t>AC0 -&gt; C, C -&gt; AC15</t>
  </si>
  <si>
    <t>ROL</t>
  </si>
  <si>
    <t>LOOP 32D</t>
  </si>
  <si>
    <t>ОСТАНОВКА</t>
  </si>
  <si>
    <t>HLT</t>
  </si>
  <si>
    <t>004 -&gt; AC</t>
  </si>
  <si>
    <t>Проверка на четность числа</t>
  </si>
  <si>
    <t>JUMP (339 + 002)</t>
  </si>
  <si>
    <t>AC15 -&gt; C, C -&gt; AC0</t>
  </si>
  <si>
    <t>JUMP (33D + F8)</t>
  </si>
  <si>
    <t>33B -&gt; IP</t>
  </si>
  <si>
    <t>335 -&gt; IP</t>
  </si>
  <si>
    <t>32D: (32D) - 1</t>
  </si>
  <si>
    <t>Y</t>
  </si>
  <si>
    <t>ROR(Y)</t>
  </si>
  <si>
    <t>Z</t>
  </si>
  <si>
    <t>Y | Z</t>
  </si>
  <si>
    <t>IF C == 1 =&gt; 339 -&gt;IP</t>
  </si>
  <si>
    <t>(32D) - 1 &lt;= 0 THEN 33D -&gt; IP</t>
  </si>
  <si>
    <t>32E: 0</t>
  </si>
  <si>
    <t>32D: 4</t>
  </si>
  <si>
    <t>(32B) + AC -&gt; AC</t>
  </si>
  <si>
    <t>ADD (334 + FFF7)</t>
  </si>
  <si>
    <t>ST (333 + FFFA)</t>
  </si>
  <si>
    <t>ST (331 + FFFD)</t>
  </si>
  <si>
    <t>AC -&gt; 32C</t>
  </si>
  <si>
    <t>(32C) - 1 -&gt; 32C, (32С) -&gt; AC</t>
  </si>
  <si>
    <t>32C: (32С) - 1</t>
  </si>
  <si>
    <t>OR (33B + FFF3)</t>
  </si>
  <si>
    <t>32E: (32E) + 1</t>
  </si>
  <si>
    <t>X</t>
  </si>
  <si>
    <t>Y = X + 4</t>
  </si>
  <si>
    <t>4+X</t>
  </si>
  <si>
    <t>32C: X + 4</t>
  </si>
  <si>
    <t>Координаты начала массива</t>
  </si>
  <si>
    <t>координаты текущей ячейки(с конца)</t>
  </si>
  <si>
    <t>Количество ячеек</t>
  </si>
  <si>
    <t>Результат</t>
  </si>
  <si>
    <t>Ячейки массива</t>
  </si>
  <si>
    <t>X4</t>
  </si>
  <si>
    <t>AC -&gt; 32E</t>
  </si>
  <si>
    <t>AC -&gt; 32D</t>
  </si>
  <si>
    <t>Программа считает количество нечетныел чисел в массиве</t>
  </si>
  <si>
    <t>(Z) | AC -&gt; AC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</si>
  <si>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</si>
  <si>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</si>
  <si>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</si>
  <si>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</si>
  <si>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</si>
  <si>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</si>
  <si>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</si>
  <si>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</si>
  <si>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</si>
  <si>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</si>
  <si>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 xml:space="preserve">32F </t>
  </si>
  <si>
    <t xml:space="preserve">0200 </t>
  </si>
  <si>
    <t xml:space="preserve">330 </t>
  </si>
  <si>
    <t xml:space="preserve">032F </t>
  </si>
  <si>
    <t xml:space="preserve">0000 </t>
  </si>
  <si>
    <t xml:space="preserve">EEFD </t>
  </si>
  <si>
    <t xml:space="preserve">331 </t>
  </si>
  <si>
    <t xml:space="preserve">32E </t>
  </si>
  <si>
    <t xml:space="preserve">FFFD </t>
  </si>
  <si>
    <t>0100 32E 0000</t>
  </si>
  <si>
    <t xml:space="preserve">AF04 </t>
  </si>
  <si>
    <t xml:space="preserve">332 </t>
  </si>
  <si>
    <t xml:space="preserve">0004 </t>
  </si>
  <si>
    <t xml:space="preserve">EEFA </t>
  </si>
  <si>
    <t xml:space="preserve">333 </t>
  </si>
  <si>
    <t xml:space="preserve">32D </t>
  </si>
  <si>
    <t xml:space="preserve">FFFA </t>
  </si>
  <si>
    <t>0000 32D 0004</t>
  </si>
  <si>
    <t xml:space="preserve">4EF7 </t>
  </si>
  <si>
    <t xml:space="preserve">334 </t>
  </si>
  <si>
    <t xml:space="preserve">32B </t>
  </si>
  <si>
    <t xml:space="preserve">033E </t>
  </si>
  <si>
    <t xml:space="preserve">FFF7 </t>
  </si>
  <si>
    <t xml:space="preserve">0342 </t>
  </si>
  <si>
    <t xml:space="preserve">EEF7 </t>
  </si>
  <si>
    <t xml:space="preserve">335 </t>
  </si>
  <si>
    <t xml:space="preserve">32C </t>
  </si>
  <si>
    <t>0000 32C 0342</t>
  </si>
  <si>
    <t xml:space="preserve">ABF6 </t>
  </si>
  <si>
    <t xml:space="preserve">336 </t>
  </si>
  <si>
    <t xml:space="preserve">341 </t>
  </si>
  <si>
    <t xml:space="preserve">6257 </t>
  </si>
  <si>
    <t xml:space="preserve">FFF6 </t>
  </si>
  <si>
    <t>0000 32C 0341</t>
  </si>
  <si>
    <t xml:space="preserve">0480 </t>
  </si>
  <si>
    <t xml:space="preserve">337 </t>
  </si>
  <si>
    <t xml:space="preserve">0336 </t>
  </si>
  <si>
    <t xml:space="preserve">312B </t>
  </si>
  <si>
    <t>0011</t>
  </si>
  <si>
    <t xml:space="preserve">F401 </t>
  </si>
  <si>
    <t xml:space="preserve">339 </t>
  </si>
  <si>
    <t xml:space="preserve">0001 </t>
  </si>
  <si>
    <t xml:space="preserve">0400 </t>
  </si>
  <si>
    <t xml:space="preserve">33A </t>
  </si>
  <si>
    <t xml:space="preserve">0339 </t>
  </si>
  <si>
    <t xml:space="preserve">3AF3 </t>
  </si>
  <si>
    <t xml:space="preserve">33B </t>
  </si>
  <si>
    <t xml:space="preserve">000 </t>
  </si>
  <si>
    <t xml:space="preserve">9DA8 </t>
  </si>
  <si>
    <t>0000 32E 0001</t>
  </si>
  <si>
    <t xml:space="preserve">832D </t>
  </si>
  <si>
    <t xml:space="preserve">33C </t>
  </si>
  <si>
    <t xml:space="preserve">0003 </t>
  </si>
  <si>
    <t xml:space="preserve">0002 </t>
  </si>
  <si>
    <t>0000 32D 0003</t>
  </si>
  <si>
    <t xml:space="preserve">CEF8 </t>
  </si>
  <si>
    <t xml:space="preserve">0335 </t>
  </si>
  <si>
    <t xml:space="preserve">FFF8 </t>
  </si>
  <si>
    <t xml:space="preserve">340 </t>
  </si>
  <si>
    <t xml:space="preserve">7ED4 </t>
  </si>
  <si>
    <t>0000 32C 0340</t>
  </si>
  <si>
    <t xml:space="preserve">3F6A </t>
  </si>
  <si>
    <t xml:space="preserve">338 </t>
  </si>
  <si>
    <t xml:space="preserve">0337 </t>
  </si>
  <si>
    <t xml:space="preserve">CE02 </t>
  </si>
  <si>
    <t xml:space="preserve">033B </t>
  </si>
  <si>
    <t>0000 32D 0002</t>
  </si>
  <si>
    <t xml:space="preserve">33F </t>
  </si>
  <si>
    <t xml:space="preserve">7F22 </t>
  </si>
  <si>
    <t>0000 32C 033F</t>
  </si>
  <si>
    <t xml:space="preserve">3F91 </t>
  </si>
  <si>
    <t>0000 32D 0001</t>
  </si>
  <si>
    <t xml:space="preserve">33E </t>
  </si>
  <si>
    <t xml:space="preserve">7F91 </t>
  </si>
  <si>
    <t>0000 32C 033E</t>
  </si>
  <si>
    <t xml:space="preserve">3FC8 </t>
  </si>
  <si>
    <t xml:space="preserve">001 </t>
  </si>
  <si>
    <t xml:space="preserve">806E </t>
  </si>
  <si>
    <t>0000 32E 0002</t>
  </si>
  <si>
    <t xml:space="preserve">33D </t>
  </si>
  <si>
    <t xml:space="preserve">FFFF </t>
  </si>
  <si>
    <t>0000 32D 0000</t>
  </si>
  <si>
    <t xml:space="preserve">0100 </t>
  </si>
  <si>
    <t xml:space="preserve">033D </t>
  </si>
  <si>
    <t>Адр</t>
  </si>
  <si>
    <t>Знчн</t>
  </si>
  <si>
    <t>0342</t>
  </si>
  <si>
    <t>0003</t>
  </si>
  <si>
    <t>0002</t>
  </si>
  <si>
    <t>0001</t>
  </si>
  <si>
    <t xml:space="preserve"> 0004</t>
  </si>
  <si>
    <t>0341</t>
  </si>
  <si>
    <t>0340</t>
  </si>
  <si>
    <t>033F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</si>
</sst>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NumberFormat="1" applyFill="1"/>
    <xf numFmtId="49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0" fillId="3" borderId="2" xfId="0" applyNumberFormat="1" applyFont="1" applyFill="1" applyBorder="1" applyAlignment="1">
      <alignment horizontal="center"/>
    </xf>
    <xf numFmtId="0" fontId="0" fillId="3" borderId="2" xfId="0" quotePrefix="1" applyNumberFormat="1" applyFont="1" applyFill="1" applyBorder="1" applyAlignment="1">
      <alignment horizontal="center"/>
    </xf>
    <xf numFmtId="0" fontId="1" fillId="0" borderId="2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8" borderId="2" xfId="0" applyNumberFormat="1" applyFont="1" applyFill="1" applyBorder="1" applyAlignment="1">
      <alignment horizontal="center"/>
    </xf>
    <xf numFmtId="0" fontId="0" fillId="6" borderId="2" xfId="0" applyNumberFormat="1" applyFont="1" applyFill="1" applyBorder="1" applyAlignment="1">
      <alignment horizontal="center"/>
    </xf>
    <xf numFmtId="0" fontId="0" fillId="9" borderId="2" xfId="0" applyNumberFormat="1" applyFont="1" applyFill="1" applyBorder="1" applyAlignment="1">
      <alignment horizontal="center"/>
    </xf>
    <xf numFmtId="0" fontId="0" fillId="5" borderId="2" xfId="0" applyNumberFormat="1" applyFont="1" applyFill="1" applyBorder="1" applyAlignment="1">
      <alignment horizontal="center"/>
    </xf>
    <xf numFmtId="0" fontId="0" fillId="6" borderId="2" xfId="0" quotePrefix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2" xfId="0" quotePrefix="1" applyFill="1" applyBorder="1" applyAlignment="1">
      <alignment horizontal="center"/>
    </xf>
    <xf numFmtId="0" fontId="0" fillId="10" borderId="2" xfId="0" applyNumberFormat="1" applyFont="1" applyFill="1" applyBorder="1" applyAlignment="1">
      <alignment horizontal="center"/>
    </xf>
    <xf numFmtId="0" fontId="0" fillId="10" borderId="2" xfId="0" quotePrefix="1" applyNumberFormat="1" applyFont="1" applyFill="1" applyBorder="1" applyAlignment="1">
      <alignment horizontal="center"/>
    </xf>
  </cellXfs>
  <cellStyles count="2">
    <cellStyle name="Обычный" xfId="0" builtinId="0"/>
    <cellStyle name="Обычный 2" xfId="1" xr:uid="{A349350E-4442-4FBA-B5B4-CC55EB4842F8}"/>
  </cellStyles>
  <dxfs count="11"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33130C-A827-421E-A3B2-481927516BBB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0CAB1-612C-4D9D-89E0-2ECD690AF7D3}" name="trace" displayName="trace" ref="A1:J34" tableType="queryTable" totalsRowShown="0" dataDxfId="0">
  <autoFilter ref="A1:J34" xr:uid="{E270CAB1-612C-4D9D-89E0-2ECD690AF7D3}"/>
  <tableColumns count="10">
    <tableColumn id="1" xr3:uid="{DDF5815C-70E7-405B-9B2F-73501B1551D4}" uniqueName="1" name="Column1" queryTableFieldId="1" dataDxfId="10"/>
    <tableColumn id="2" xr3:uid="{A423E078-5A3F-415D-AD1A-8022E7BAFA39}" uniqueName="2" name="Column2" queryTableFieldId="2" dataDxfId="9"/>
    <tableColumn id="3" xr3:uid="{BB8E95DD-2062-4BB5-BDA4-7D50545AA441}" uniqueName="3" name="Column3" queryTableFieldId="3" dataDxfId="8"/>
    <tableColumn id="4" xr3:uid="{342A10AC-DEEB-4984-96C4-58B3D74B6C0E}" uniqueName="4" name="Column4" queryTableFieldId="4" dataDxfId="7"/>
    <tableColumn id="5" xr3:uid="{ABCD734B-18BC-439D-B367-C55869060144}" uniqueName="5" name="Column5" queryTableFieldId="5" dataDxfId="6"/>
    <tableColumn id="6" xr3:uid="{DBF5E506-D699-426A-9C0C-C79FA7985439}" uniqueName="6" name="Column6" queryTableFieldId="6" dataDxfId="5"/>
    <tableColumn id="7" xr3:uid="{8A3D28DB-CFEC-4B04-A07B-B5F5F5DF4B47}" uniqueName="7" name="Column7" queryTableFieldId="7" dataDxfId="4"/>
    <tableColumn id="8" xr3:uid="{A9440D10-1453-4C36-89A0-4D1FD76F3BCB}" uniqueName="8" name="Column8" queryTableFieldId="8" dataDxfId="3"/>
    <tableColumn id="9" xr3:uid="{D4DDCE2C-77E8-4977-A03A-FC6714270F0E}" uniqueName="9" name="Column9" queryTableFieldId="9" dataDxfId="2"/>
    <tableColumn id="10" xr3:uid="{A023BD09-DFD0-4025-8610-6C653889409B}" uniqueName="10" name="Column10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3CD3-72B1-4F08-971E-2C3DA1994B95}">
  <dimension ref="A1:M31"/>
  <sheetViews>
    <sheetView zoomScale="115" zoomScaleNormal="115" workbookViewId="0">
      <selection activeCell="F25" sqref="F25"/>
    </sheetView>
  </sheetViews>
  <sheetFormatPr defaultRowHeight="14.5" x14ac:dyDescent="0.35"/>
  <cols>
    <col min="1" max="2" width="8.7265625" style="1"/>
    <col min="3" max="3" width="14.90625" style="1" bestFit="1" customWidth="1"/>
    <col min="4" max="4" width="37.453125" style="1" bestFit="1" customWidth="1"/>
    <col min="5" max="5" width="24.7265625" style="1" bestFit="1" customWidth="1"/>
    <col min="6" max="6" width="18" style="1" bestFit="1" customWidth="1"/>
  </cols>
  <sheetData>
    <row r="1" spans="1:13" x14ac:dyDescent="0.35">
      <c r="A1" s="3" t="s">
        <v>23</v>
      </c>
      <c r="B1" s="1" t="s">
        <v>32</v>
      </c>
    </row>
    <row r="2" spans="1:13" x14ac:dyDescent="0.35">
      <c r="A2" s="1" t="s">
        <v>33</v>
      </c>
      <c r="B2" s="1" t="s">
        <v>1</v>
      </c>
      <c r="C2" s="1" t="s">
        <v>87</v>
      </c>
      <c r="D2" s="1" t="s">
        <v>91</v>
      </c>
    </row>
    <row r="3" spans="1:13" x14ac:dyDescent="0.35">
      <c r="A3" s="12" t="s">
        <v>34</v>
      </c>
      <c r="B3" s="1" t="s">
        <v>2</v>
      </c>
      <c r="C3" s="1" t="s">
        <v>88</v>
      </c>
      <c r="D3" s="1" t="s">
        <v>92</v>
      </c>
    </row>
    <row r="4" spans="1:13" x14ac:dyDescent="0.35">
      <c r="A4" s="11" t="s">
        <v>37</v>
      </c>
      <c r="B4" s="1">
        <v>4000</v>
      </c>
      <c r="C4" s="1">
        <v>4</v>
      </c>
      <c r="D4" s="1" t="s">
        <v>93</v>
      </c>
    </row>
    <row r="5" spans="1:13" x14ac:dyDescent="0.35">
      <c r="A5" s="10" t="s">
        <v>35</v>
      </c>
      <c r="B5" s="1" t="s">
        <v>3</v>
      </c>
      <c r="C5" s="1" t="s">
        <v>72</v>
      </c>
      <c r="D5" s="1" t="s">
        <v>94</v>
      </c>
    </row>
    <row r="6" spans="1:13" x14ac:dyDescent="0.35">
      <c r="A6" s="3" t="s">
        <v>23</v>
      </c>
      <c r="B6" s="3" t="s">
        <v>0</v>
      </c>
      <c r="C6" s="4" t="s">
        <v>24</v>
      </c>
      <c r="D6" s="1" t="s">
        <v>48</v>
      </c>
      <c r="E6" s="1" t="s">
        <v>30</v>
      </c>
      <c r="F6" s="1" t="s">
        <v>45</v>
      </c>
      <c r="G6" s="5" t="s">
        <v>25</v>
      </c>
      <c r="H6" s="5" t="s">
        <v>26</v>
      </c>
      <c r="I6" s="5" t="s">
        <v>27</v>
      </c>
      <c r="J6" s="5" t="s">
        <v>28</v>
      </c>
      <c r="K6" s="5" t="s">
        <v>29</v>
      </c>
      <c r="L6" s="5" t="s">
        <v>30</v>
      </c>
      <c r="M6" s="5" t="s">
        <v>31</v>
      </c>
    </row>
    <row r="7" spans="1:13" x14ac:dyDescent="0.35">
      <c r="A7" s="1" t="s">
        <v>36</v>
      </c>
      <c r="B7" s="2" t="s">
        <v>4</v>
      </c>
      <c r="C7" s="1" t="s">
        <v>44</v>
      </c>
      <c r="D7" s="1" t="s">
        <v>49</v>
      </c>
      <c r="E7" s="1">
        <v>0</v>
      </c>
      <c r="L7">
        <v>0</v>
      </c>
    </row>
    <row r="8" spans="1:13" x14ac:dyDescent="0.35">
      <c r="A8" s="1">
        <v>330</v>
      </c>
      <c r="B8" s="1" t="s">
        <v>5</v>
      </c>
      <c r="C8" s="1" t="s">
        <v>81</v>
      </c>
      <c r="D8" s="1" t="s">
        <v>97</v>
      </c>
      <c r="E8" s="1">
        <v>0</v>
      </c>
      <c r="F8" s="10" t="s">
        <v>76</v>
      </c>
    </row>
    <row r="9" spans="1:13" x14ac:dyDescent="0.35">
      <c r="A9" s="1">
        <v>331</v>
      </c>
      <c r="B9" s="1" t="s">
        <v>6</v>
      </c>
      <c r="C9" s="1" t="s">
        <v>50</v>
      </c>
      <c r="D9" s="1" t="s">
        <v>62</v>
      </c>
      <c r="E9" s="1">
        <v>4</v>
      </c>
    </row>
    <row r="10" spans="1:13" x14ac:dyDescent="0.35">
      <c r="A10" s="1">
        <v>332</v>
      </c>
      <c r="B10" s="1" t="s">
        <v>7</v>
      </c>
      <c r="C10" s="1" t="s">
        <v>80</v>
      </c>
      <c r="D10" s="1" t="s">
        <v>98</v>
      </c>
      <c r="E10" s="1">
        <v>4</v>
      </c>
      <c r="F10" s="11" t="s">
        <v>77</v>
      </c>
    </row>
    <row r="11" spans="1:13" x14ac:dyDescent="0.35">
      <c r="A11" s="1">
        <v>333</v>
      </c>
      <c r="B11" s="1" t="s">
        <v>8</v>
      </c>
      <c r="C11" s="1" t="s">
        <v>79</v>
      </c>
      <c r="D11" s="1" t="s">
        <v>78</v>
      </c>
      <c r="E11" s="1" t="s">
        <v>89</v>
      </c>
    </row>
    <row r="12" spans="1:13" x14ac:dyDescent="0.35">
      <c r="A12" s="1">
        <v>334</v>
      </c>
      <c r="B12" s="1" t="s">
        <v>9</v>
      </c>
      <c r="C12" s="1" t="s">
        <v>53</v>
      </c>
      <c r="D12" s="1" t="s">
        <v>82</v>
      </c>
      <c r="E12" s="1" t="s">
        <v>89</v>
      </c>
      <c r="F12" s="12" t="s">
        <v>90</v>
      </c>
    </row>
    <row r="13" spans="1:13" x14ac:dyDescent="0.35">
      <c r="A13" s="9">
        <v>335</v>
      </c>
      <c r="B13" s="1" t="s">
        <v>10</v>
      </c>
      <c r="C13" s="1" t="s">
        <v>54</v>
      </c>
      <c r="D13" s="1" t="s">
        <v>83</v>
      </c>
      <c r="E13" s="1" t="s">
        <v>70</v>
      </c>
      <c r="F13" s="12" t="s">
        <v>84</v>
      </c>
    </row>
    <row r="14" spans="1:13" x14ac:dyDescent="0.35">
      <c r="A14" s="1">
        <v>336</v>
      </c>
      <c r="B14" s="2" t="s">
        <v>11</v>
      </c>
      <c r="C14" s="1" t="s">
        <v>55</v>
      </c>
      <c r="D14" s="1" t="s">
        <v>57</v>
      </c>
      <c r="E14" s="1" t="s">
        <v>71</v>
      </c>
    </row>
    <row r="15" spans="1:13" x14ac:dyDescent="0.35">
      <c r="A15" s="1">
        <v>337</v>
      </c>
      <c r="B15" s="1" t="s">
        <v>12</v>
      </c>
      <c r="C15" s="1" t="s">
        <v>56</v>
      </c>
      <c r="D15" s="1" t="s">
        <v>74</v>
      </c>
      <c r="E15" s="1" t="s">
        <v>63</v>
      </c>
    </row>
    <row r="16" spans="1:13" x14ac:dyDescent="0.35">
      <c r="A16" s="1">
        <v>338</v>
      </c>
      <c r="B16" s="1" t="s">
        <v>13</v>
      </c>
      <c r="C16" s="1" t="s">
        <v>64</v>
      </c>
      <c r="D16" s="8" t="s">
        <v>67</v>
      </c>
      <c r="E16" s="1" t="s">
        <v>71</v>
      </c>
    </row>
    <row r="17" spans="1:6" x14ac:dyDescent="0.35">
      <c r="A17" s="1">
        <v>339</v>
      </c>
      <c r="B17" s="2" t="s">
        <v>14</v>
      </c>
      <c r="C17" s="1" t="s">
        <v>58</v>
      </c>
      <c r="D17" s="1" t="s">
        <v>65</v>
      </c>
      <c r="E17" s="1" t="s">
        <v>70</v>
      </c>
    </row>
    <row r="18" spans="1:6" x14ac:dyDescent="0.35">
      <c r="A18" s="1" t="s">
        <v>38</v>
      </c>
      <c r="B18" s="1" t="s">
        <v>15</v>
      </c>
      <c r="C18" s="1" t="s">
        <v>85</v>
      </c>
      <c r="D18" s="1" t="s">
        <v>100</v>
      </c>
      <c r="E18" s="1" t="s">
        <v>73</v>
      </c>
      <c r="F18" s="1" t="s">
        <v>86</v>
      </c>
    </row>
    <row r="19" spans="1:6" x14ac:dyDescent="0.35">
      <c r="A19" s="1" t="s">
        <v>39</v>
      </c>
      <c r="B19" s="1" t="s">
        <v>16</v>
      </c>
      <c r="C19" s="1" t="s">
        <v>59</v>
      </c>
      <c r="D19" s="1" t="s">
        <v>75</v>
      </c>
      <c r="F19" s="1" t="s">
        <v>69</v>
      </c>
    </row>
    <row r="20" spans="1:6" x14ac:dyDescent="0.35">
      <c r="A20" s="1" t="s">
        <v>40</v>
      </c>
      <c r="B20" s="1" t="s">
        <v>17</v>
      </c>
      <c r="C20" s="9" t="s">
        <v>66</v>
      </c>
      <c r="D20" s="1" t="s">
        <v>68</v>
      </c>
    </row>
    <row r="21" spans="1:6" x14ac:dyDescent="0.35">
      <c r="A21" s="6" t="s">
        <v>41</v>
      </c>
      <c r="B21" s="7" t="s">
        <v>18</v>
      </c>
      <c r="C21" s="1" t="s">
        <v>61</v>
      </c>
      <c r="D21" s="1" t="s">
        <v>60</v>
      </c>
      <c r="E21" s="1">
        <f>POWER(2,15)</f>
        <v>32768</v>
      </c>
    </row>
    <row r="22" spans="1:6" x14ac:dyDescent="0.35">
      <c r="A22" s="1" t="s">
        <v>42</v>
      </c>
      <c r="B22" s="1" t="s">
        <v>19</v>
      </c>
      <c r="C22" s="1" t="s">
        <v>96</v>
      </c>
      <c r="D22" s="15" t="s">
        <v>95</v>
      </c>
      <c r="E22" s="18">
        <f>POWER(2,15)-111</f>
        <v>32657</v>
      </c>
    </row>
    <row r="23" spans="1:6" x14ac:dyDescent="0.35">
      <c r="A23" s="1" t="s">
        <v>43</v>
      </c>
      <c r="B23" s="2" t="s">
        <v>20</v>
      </c>
      <c r="C23" s="16" t="s">
        <v>52</v>
      </c>
      <c r="D23" s="15"/>
      <c r="E23" s="18">
        <f>E21-222</f>
        <v>32546</v>
      </c>
    </row>
    <row r="24" spans="1:6" x14ac:dyDescent="0.35">
      <c r="A24" s="1">
        <v>340</v>
      </c>
      <c r="B24" s="2" t="s">
        <v>21</v>
      </c>
      <c r="C24" s="16" t="s">
        <v>51</v>
      </c>
      <c r="D24" s="15"/>
      <c r="E24" s="18">
        <f>E21-300</f>
        <v>32468</v>
      </c>
    </row>
    <row r="25" spans="1:6" x14ac:dyDescent="0.35">
      <c r="A25" s="1">
        <v>341</v>
      </c>
      <c r="B25" s="1" t="s">
        <v>22</v>
      </c>
      <c r="C25" s="16" t="s">
        <v>46</v>
      </c>
      <c r="D25" s="15"/>
      <c r="E25" s="18">
        <f>E21-7593</f>
        <v>25175</v>
      </c>
    </row>
    <row r="26" spans="1:6" x14ac:dyDescent="0.35">
      <c r="C26" s="17"/>
      <c r="D26" s="17"/>
    </row>
    <row r="28" spans="1:6" x14ac:dyDescent="0.35">
      <c r="C28" s="13" t="s">
        <v>99</v>
      </c>
      <c r="D28" s="13"/>
      <c r="E28" s="14"/>
      <c r="F28" s="14"/>
    </row>
    <row r="29" spans="1:6" x14ac:dyDescent="0.35">
      <c r="C29" s="13"/>
      <c r="D29" s="13"/>
      <c r="E29" s="14"/>
      <c r="F29" s="14"/>
    </row>
    <row r="30" spans="1:6" x14ac:dyDescent="0.35">
      <c r="B30" s="2"/>
      <c r="C30" s="13"/>
      <c r="D30" s="13"/>
      <c r="E30" s="14"/>
      <c r="F30" s="14"/>
    </row>
    <row r="31" spans="1:6" x14ac:dyDescent="0.35">
      <c r="A31" s="2"/>
      <c r="C31" s="13"/>
      <c r="D31" s="13"/>
      <c r="E31" s="14"/>
      <c r="F31" s="14"/>
    </row>
  </sheetData>
  <mergeCells count="2">
    <mergeCell ref="C28:D31"/>
    <mergeCell ref="D22:D2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8AB5-6A42-4407-BB74-36E752916E0F}">
  <dimension ref="A1:J38"/>
  <sheetViews>
    <sheetView workbookViewId="0">
      <selection activeCell="A3" sqref="A3:J34"/>
    </sheetView>
  </sheetViews>
  <sheetFormatPr defaultRowHeight="14.5" x14ac:dyDescent="0.35"/>
  <cols>
    <col min="1" max="9" width="10.7265625" bestFit="1" customWidth="1"/>
    <col min="10" max="10" width="12.90625" bestFit="1" customWidth="1"/>
  </cols>
  <sheetData>
    <row r="1" spans="1:10" x14ac:dyDescent="0.3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</row>
    <row r="2" spans="1:10" x14ac:dyDescent="0.35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5">
      <c r="A3" s="20" t="s">
        <v>111</v>
      </c>
      <c r="B3" s="20" t="s">
        <v>112</v>
      </c>
      <c r="C3" s="20" t="s">
        <v>113</v>
      </c>
      <c r="D3" s="20" t="s">
        <v>112</v>
      </c>
      <c r="E3" s="20" t="s">
        <v>111</v>
      </c>
      <c r="F3" s="20" t="s">
        <v>112</v>
      </c>
      <c r="G3" s="19">
        <v>0</v>
      </c>
      <c r="H3" s="20" t="s">
        <v>114</v>
      </c>
      <c r="I3" s="20" t="s">
        <v>115</v>
      </c>
      <c r="J3" s="20" t="s">
        <v>18</v>
      </c>
    </row>
    <row r="4" spans="1:10" x14ac:dyDescent="0.35">
      <c r="A4" s="20" t="s">
        <v>113</v>
      </c>
      <c r="B4" s="20" t="s">
        <v>116</v>
      </c>
      <c r="C4" s="20" t="s">
        <v>117</v>
      </c>
      <c r="D4" s="20" t="s">
        <v>116</v>
      </c>
      <c r="E4" s="20" t="s">
        <v>118</v>
      </c>
      <c r="F4" s="20" t="s">
        <v>115</v>
      </c>
      <c r="G4" s="19">
        <v>0</v>
      </c>
      <c r="H4" s="20" t="s">
        <v>119</v>
      </c>
      <c r="I4" s="20" t="s">
        <v>115</v>
      </c>
      <c r="J4" s="20" t="s">
        <v>120</v>
      </c>
    </row>
    <row r="5" spans="1:10" x14ac:dyDescent="0.35">
      <c r="A5" s="20" t="s">
        <v>117</v>
      </c>
      <c r="B5" s="20" t="s">
        <v>121</v>
      </c>
      <c r="C5" s="20" t="s">
        <v>122</v>
      </c>
      <c r="D5" s="20" t="s">
        <v>121</v>
      </c>
      <c r="E5" s="20" t="s">
        <v>117</v>
      </c>
      <c r="F5" s="20" t="s">
        <v>123</v>
      </c>
      <c r="G5" s="19">
        <v>0</v>
      </c>
      <c r="H5" s="20" t="s">
        <v>123</v>
      </c>
      <c r="I5" s="20" t="s">
        <v>123</v>
      </c>
      <c r="J5" s="20" t="s">
        <v>47</v>
      </c>
    </row>
    <row r="6" spans="1:10" x14ac:dyDescent="0.35">
      <c r="A6" s="20" t="s">
        <v>122</v>
      </c>
      <c r="B6" s="20" t="s">
        <v>124</v>
      </c>
      <c r="C6" s="20" t="s">
        <v>125</v>
      </c>
      <c r="D6" s="20" t="s">
        <v>124</v>
      </c>
      <c r="E6" s="20" t="s">
        <v>126</v>
      </c>
      <c r="F6" s="20" t="s">
        <v>123</v>
      </c>
      <c r="G6" s="19">
        <v>0</v>
      </c>
      <c r="H6" s="20" t="s">
        <v>127</v>
      </c>
      <c r="I6" s="20" t="s">
        <v>123</v>
      </c>
      <c r="J6" s="20" t="s">
        <v>128</v>
      </c>
    </row>
    <row r="7" spans="1:10" x14ac:dyDescent="0.35">
      <c r="A7" s="20" t="s">
        <v>125</v>
      </c>
      <c r="B7" s="20" t="s">
        <v>129</v>
      </c>
      <c r="C7" s="20" t="s">
        <v>130</v>
      </c>
      <c r="D7" s="20" t="s">
        <v>129</v>
      </c>
      <c r="E7" s="20" t="s">
        <v>131</v>
      </c>
      <c r="F7" s="20" t="s">
        <v>132</v>
      </c>
      <c r="G7" s="19">
        <v>0</v>
      </c>
      <c r="H7" s="20" t="s">
        <v>133</v>
      </c>
      <c r="I7" s="20" t="s">
        <v>134</v>
      </c>
      <c r="J7" s="20" t="s">
        <v>47</v>
      </c>
    </row>
    <row r="8" spans="1:10" x14ac:dyDescent="0.35">
      <c r="A8" s="20" t="s">
        <v>130</v>
      </c>
      <c r="B8" s="20" t="s">
        <v>135</v>
      </c>
      <c r="C8" s="20" t="s">
        <v>136</v>
      </c>
      <c r="D8" s="20" t="s">
        <v>135</v>
      </c>
      <c r="E8" s="20" t="s">
        <v>137</v>
      </c>
      <c r="F8" s="20" t="s">
        <v>134</v>
      </c>
      <c r="G8" s="19">
        <v>0</v>
      </c>
      <c r="H8" s="20" t="s">
        <v>133</v>
      </c>
      <c r="I8" s="20" t="s">
        <v>134</v>
      </c>
      <c r="J8" s="20" t="s">
        <v>138</v>
      </c>
    </row>
    <row r="9" spans="1:10" x14ac:dyDescent="0.35">
      <c r="A9" s="20" t="s">
        <v>136</v>
      </c>
      <c r="B9" s="20" t="s">
        <v>139</v>
      </c>
      <c r="C9" s="20" t="s">
        <v>140</v>
      </c>
      <c r="D9" s="20" t="s">
        <v>139</v>
      </c>
      <c r="E9" s="20" t="s">
        <v>141</v>
      </c>
      <c r="F9" s="20" t="s">
        <v>142</v>
      </c>
      <c r="G9" s="19">
        <v>0</v>
      </c>
      <c r="H9" s="20" t="s">
        <v>143</v>
      </c>
      <c r="I9" s="20" t="s">
        <v>142</v>
      </c>
      <c r="J9" s="20" t="s">
        <v>144</v>
      </c>
    </row>
    <row r="10" spans="1:10" x14ac:dyDescent="0.35">
      <c r="A10" s="20" t="s">
        <v>140</v>
      </c>
      <c r="B10" s="20" t="s">
        <v>145</v>
      </c>
      <c r="C10" s="20" t="s">
        <v>146</v>
      </c>
      <c r="D10" s="20" t="s">
        <v>145</v>
      </c>
      <c r="E10" s="20" t="s">
        <v>140</v>
      </c>
      <c r="F10" s="20" t="s">
        <v>145</v>
      </c>
      <c r="G10" s="19">
        <v>0</v>
      </c>
      <c r="H10" s="20" t="s">
        <v>147</v>
      </c>
      <c r="I10" s="20" t="s">
        <v>148</v>
      </c>
      <c r="J10" s="20" t="s">
        <v>149</v>
      </c>
    </row>
    <row r="11" spans="1:10" x14ac:dyDescent="0.35">
      <c r="A11" s="20" t="s">
        <v>146</v>
      </c>
      <c r="B11" s="20" t="s">
        <v>150</v>
      </c>
      <c r="C11" s="20" t="s">
        <v>151</v>
      </c>
      <c r="D11" s="20" t="s">
        <v>150</v>
      </c>
      <c r="E11" s="20" t="s">
        <v>146</v>
      </c>
      <c r="F11" s="20" t="s">
        <v>150</v>
      </c>
      <c r="G11" s="19">
        <v>0</v>
      </c>
      <c r="H11" s="20" t="s">
        <v>152</v>
      </c>
      <c r="I11" s="20" t="s">
        <v>148</v>
      </c>
      <c r="J11" s="20" t="s">
        <v>149</v>
      </c>
    </row>
    <row r="12" spans="1:10" x14ac:dyDescent="0.35">
      <c r="A12" s="20" t="s">
        <v>151</v>
      </c>
      <c r="B12" s="20" t="s">
        <v>153</v>
      </c>
      <c r="C12" s="20" t="s">
        <v>154</v>
      </c>
      <c r="D12" s="20" t="s">
        <v>153</v>
      </c>
      <c r="E12" s="20" t="s">
        <v>151</v>
      </c>
      <c r="F12" s="20" t="s">
        <v>153</v>
      </c>
      <c r="G12" s="19">
        <v>0</v>
      </c>
      <c r="H12" s="20" t="s">
        <v>155</v>
      </c>
      <c r="I12" s="20" t="s">
        <v>142</v>
      </c>
      <c r="J12" s="20" t="s">
        <v>47</v>
      </c>
    </row>
    <row r="13" spans="1:10" x14ac:dyDescent="0.35">
      <c r="A13" s="20" t="s">
        <v>154</v>
      </c>
      <c r="B13" s="20" t="s">
        <v>156</v>
      </c>
      <c r="C13" s="20" t="s">
        <v>157</v>
      </c>
      <c r="D13" s="20" t="s">
        <v>156</v>
      </c>
      <c r="E13" s="20" t="s">
        <v>158</v>
      </c>
      <c r="F13" s="20" t="s">
        <v>115</v>
      </c>
      <c r="G13" s="19">
        <v>0</v>
      </c>
      <c r="H13" s="20" t="s">
        <v>159</v>
      </c>
      <c r="I13" s="20" t="s">
        <v>142</v>
      </c>
      <c r="J13" s="20" t="s">
        <v>160</v>
      </c>
    </row>
    <row r="14" spans="1:10" x14ac:dyDescent="0.35">
      <c r="A14" s="20" t="s">
        <v>157</v>
      </c>
      <c r="B14" s="20" t="s">
        <v>161</v>
      </c>
      <c r="C14" s="20" t="s">
        <v>162</v>
      </c>
      <c r="D14" s="20" t="s">
        <v>161</v>
      </c>
      <c r="E14" s="20" t="s">
        <v>126</v>
      </c>
      <c r="F14" s="20" t="s">
        <v>163</v>
      </c>
      <c r="G14" s="19">
        <v>0</v>
      </c>
      <c r="H14" s="20" t="s">
        <v>164</v>
      </c>
      <c r="I14" s="20" t="s">
        <v>142</v>
      </c>
      <c r="J14" s="20" t="s">
        <v>165</v>
      </c>
    </row>
    <row r="15" spans="1:10" x14ac:dyDescent="0.35">
      <c r="A15" s="20" t="s">
        <v>162</v>
      </c>
      <c r="B15" s="20" t="s">
        <v>166</v>
      </c>
      <c r="C15" s="20" t="s">
        <v>136</v>
      </c>
      <c r="D15" s="20" t="s">
        <v>166</v>
      </c>
      <c r="E15" s="20" t="s">
        <v>162</v>
      </c>
      <c r="F15" s="20" t="s">
        <v>167</v>
      </c>
      <c r="G15" s="19">
        <v>0</v>
      </c>
      <c r="H15" s="20" t="s">
        <v>168</v>
      </c>
      <c r="I15" s="20" t="s">
        <v>142</v>
      </c>
      <c r="J15" s="20" t="s">
        <v>47</v>
      </c>
    </row>
    <row r="16" spans="1:10" x14ac:dyDescent="0.35">
      <c r="A16" s="20" t="s">
        <v>136</v>
      </c>
      <c r="B16" s="20" t="s">
        <v>139</v>
      </c>
      <c r="C16" s="20" t="s">
        <v>140</v>
      </c>
      <c r="D16" s="20" t="s">
        <v>139</v>
      </c>
      <c r="E16" s="20" t="s">
        <v>169</v>
      </c>
      <c r="F16" s="20" t="s">
        <v>170</v>
      </c>
      <c r="G16" s="19">
        <v>0</v>
      </c>
      <c r="H16" s="20" t="s">
        <v>143</v>
      </c>
      <c r="I16" s="20" t="s">
        <v>170</v>
      </c>
      <c r="J16" s="20" t="s">
        <v>171</v>
      </c>
    </row>
    <row r="17" spans="1:10" x14ac:dyDescent="0.35">
      <c r="A17" s="20" t="s">
        <v>140</v>
      </c>
      <c r="B17" s="20" t="s">
        <v>145</v>
      </c>
      <c r="C17" s="20" t="s">
        <v>146</v>
      </c>
      <c r="D17" s="20" t="s">
        <v>145</v>
      </c>
      <c r="E17" s="20" t="s">
        <v>140</v>
      </c>
      <c r="F17" s="20" t="s">
        <v>145</v>
      </c>
      <c r="G17" s="19">
        <v>0</v>
      </c>
      <c r="H17" s="20" t="s">
        <v>147</v>
      </c>
      <c r="I17" s="20" t="s">
        <v>172</v>
      </c>
      <c r="J17" s="20" t="s">
        <v>47</v>
      </c>
    </row>
    <row r="18" spans="1:10" x14ac:dyDescent="0.35">
      <c r="A18" s="20" t="s">
        <v>146</v>
      </c>
      <c r="B18" s="20" t="s">
        <v>150</v>
      </c>
      <c r="C18" s="20" t="s">
        <v>173</v>
      </c>
      <c r="D18" s="20" t="s">
        <v>150</v>
      </c>
      <c r="E18" s="20" t="s">
        <v>146</v>
      </c>
      <c r="F18" s="20" t="s">
        <v>150</v>
      </c>
      <c r="G18" s="19">
        <v>0</v>
      </c>
      <c r="H18" s="20" t="s">
        <v>174</v>
      </c>
      <c r="I18" s="20" t="s">
        <v>172</v>
      </c>
      <c r="J18" s="20" t="s">
        <v>47</v>
      </c>
    </row>
    <row r="19" spans="1:10" x14ac:dyDescent="0.35">
      <c r="A19" s="20" t="s">
        <v>173</v>
      </c>
      <c r="B19" s="20" t="s">
        <v>175</v>
      </c>
      <c r="C19" s="20" t="s">
        <v>157</v>
      </c>
      <c r="D19" s="20" t="s">
        <v>175</v>
      </c>
      <c r="E19" s="20" t="s">
        <v>173</v>
      </c>
      <c r="F19" s="20" t="s">
        <v>176</v>
      </c>
      <c r="G19" s="19">
        <v>0</v>
      </c>
      <c r="H19" s="20" t="s">
        <v>164</v>
      </c>
      <c r="I19" s="20" t="s">
        <v>172</v>
      </c>
      <c r="J19" s="20" t="s">
        <v>47</v>
      </c>
    </row>
    <row r="20" spans="1:10" x14ac:dyDescent="0.35">
      <c r="A20" s="20" t="s">
        <v>157</v>
      </c>
      <c r="B20" s="20" t="s">
        <v>161</v>
      </c>
      <c r="C20" s="20" t="s">
        <v>162</v>
      </c>
      <c r="D20" s="20" t="s">
        <v>161</v>
      </c>
      <c r="E20" s="20" t="s">
        <v>126</v>
      </c>
      <c r="F20" s="20" t="s">
        <v>164</v>
      </c>
      <c r="G20" s="19">
        <v>0</v>
      </c>
      <c r="H20" s="20" t="s">
        <v>152</v>
      </c>
      <c r="I20" s="20" t="s">
        <v>172</v>
      </c>
      <c r="J20" s="20" t="s">
        <v>177</v>
      </c>
    </row>
    <row r="21" spans="1:10" x14ac:dyDescent="0.35">
      <c r="A21" s="20" t="s">
        <v>162</v>
      </c>
      <c r="B21" s="20" t="s">
        <v>166</v>
      </c>
      <c r="C21" s="20" t="s">
        <v>136</v>
      </c>
      <c r="D21" s="20" t="s">
        <v>166</v>
      </c>
      <c r="E21" s="20" t="s">
        <v>162</v>
      </c>
      <c r="F21" s="20" t="s">
        <v>167</v>
      </c>
      <c r="G21" s="19">
        <v>0</v>
      </c>
      <c r="H21" s="20" t="s">
        <v>168</v>
      </c>
      <c r="I21" s="20" t="s">
        <v>172</v>
      </c>
      <c r="J21" s="20" t="s">
        <v>47</v>
      </c>
    </row>
    <row r="22" spans="1:10" x14ac:dyDescent="0.35">
      <c r="A22" s="20" t="s">
        <v>136</v>
      </c>
      <c r="B22" s="20" t="s">
        <v>139</v>
      </c>
      <c r="C22" s="20" t="s">
        <v>140</v>
      </c>
      <c r="D22" s="20" t="s">
        <v>139</v>
      </c>
      <c r="E22" s="20" t="s">
        <v>178</v>
      </c>
      <c r="F22" s="20" t="s">
        <v>179</v>
      </c>
      <c r="G22" s="19">
        <v>0</v>
      </c>
      <c r="H22" s="20" t="s">
        <v>143</v>
      </c>
      <c r="I22" s="20" t="s">
        <v>179</v>
      </c>
      <c r="J22" s="20" t="s">
        <v>180</v>
      </c>
    </row>
    <row r="23" spans="1:10" x14ac:dyDescent="0.35">
      <c r="A23" s="20" t="s">
        <v>140</v>
      </c>
      <c r="B23" s="20" t="s">
        <v>145</v>
      </c>
      <c r="C23" s="20" t="s">
        <v>146</v>
      </c>
      <c r="D23" s="20" t="s">
        <v>145</v>
      </c>
      <c r="E23" s="20" t="s">
        <v>140</v>
      </c>
      <c r="F23" s="20" t="s">
        <v>145</v>
      </c>
      <c r="G23" s="19">
        <v>0</v>
      </c>
      <c r="H23" s="20" t="s">
        <v>147</v>
      </c>
      <c r="I23" s="20" t="s">
        <v>181</v>
      </c>
      <c r="J23" s="20" t="s">
        <v>47</v>
      </c>
    </row>
    <row r="24" spans="1:10" x14ac:dyDescent="0.35">
      <c r="A24" s="20" t="s">
        <v>146</v>
      </c>
      <c r="B24" s="20" t="s">
        <v>150</v>
      </c>
      <c r="C24" s="20" t="s">
        <v>173</v>
      </c>
      <c r="D24" s="20" t="s">
        <v>150</v>
      </c>
      <c r="E24" s="20" t="s">
        <v>146</v>
      </c>
      <c r="F24" s="20" t="s">
        <v>150</v>
      </c>
      <c r="G24" s="19">
        <v>0</v>
      </c>
      <c r="H24" s="20" t="s">
        <v>174</v>
      </c>
      <c r="I24" s="20" t="s">
        <v>181</v>
      </c>
      <c r="J24" s="20" t="s">
        <v>47</v>
      </c>
    </row>
    <row r="25" spans="1:10" x14ac:dyDescent="0.35">
      <c r="A25" s="20" t="s">
        <v>173</v>
      </c>
      <c r="B25" s="20" t="s">
        <v>175</v>
      </c>
      <c r="C25" s="20" t="s">
        <v>157</v>
      </c>
      <c r="D25" s="20" t="s">
        <v>175</v>
      </c>
      <c r="E25" s="20" t="s">
        <v>173</v>
      </c>
      <c r="F25" s="20" t="s">
        <v>176</v>
      </c>
      <c r="G25" s="19">
        <v>0</v>
      </c>
      <c r="H25" s="20" t="s">
        <v>164</v>
      </c>
      <c r="I25" s="20" t="s">
        <v>181</v>
      </c>
      <c r="J25" s="20" t="s">
        <v>47</v>
      </c>
    </row>
    <row r="26" spans="1:10" x14ac:dyDescent="0.35">
      <c r="A26" s="20" t="s">
        <v>157</v>
      </c>
      <c r="B26" s="20" t="s">
        <v>161</v>
      </c>
      <c r="C26" s="20" t="s">
        <v>162</v>
      </c>
      <c r="D26" s="20" t="s">
        <v>161</v>
      </c>
      <c r="E26" s="20" t="s">
        <v>126</v>
      </c>
      <c r="F26" s="20" t="s">
        <v>152</v>
      </c>
      <c r="G26" s="19">
        <v>0</v>
      </c>
      <c r="H26" s="20" t="s">
        <v>115</v>
      </c>
      <c r="I26" s="20" t="s">
        <v>181</v>
      </c>
      <c r="J26" s="20" t="s">
        <v>182</v>
      </c>
    </row>
    <row r="27" spans="1:10" x14ac:dyDescent="0.35">
      <c r="A27" s="20" t="s">
        <v>162</v>
      </c>
      <c r="B27" s="20" t="s">
        <v>166</v>
      </c>
      <c r="C27" s="20" t="s">
        <v>136</v>
      </c>
      <c r="D27" s="20" t="s">
        <v>166</v>
      </c>
      <c r="E27" s="20" t="s">
        <v>162</v>
      </c>
      <c r="F27" s="20" t="s">
        <v>167</v>
      </c>
      <c r="G27" s="19">
        <v>0</v>
      </c>
      <c r="H27" s="20" t="s">
        <v>168</v>
      </c>
      <c r="I27" s="20" t="s">
        <v>181</v>
      </c>
      <c r="J27" s="20" t="s">
        <v>47</v>
      </c>
    </row>
    <row r="28" spans="1:10" x14ac:dyDescent="0.35">
      <c r="A28" s="20" t="s">
        <v>136</v>
      </c>
      <c r="B28" s="20" t="s">
        <v>139</v>
      </c>
      <c r="C28" s="20" t="s">
        <v>140</v>
      </c>
      <c r="D28" s="20" t="s">
        <v>139</v>
      </c>
      <c r="E28" s="20" t="s">
        <v>183</v>
      </c>
      <c r="F28" s="20" t="s">
        <v>184</v>
      </c>
      <c r="G28" s="19">
        <v>0</v>
      </c>
      <c r="H28" s="20" t="s">
        <v>143</v>
      </c>
      <c r="I28" s="20" t="s">
        <v>184</v>
      </c>
      <c r="J28" s="20" t="s">
        <v>185</v>
      </c>
    </row>
    <row r="29" spans="1:10" x14ac:dyDescent="0.35">
      <c r="A29" s="20" t="s">
        <v>140</v>
      </c>
      <c r="B29" s="20" t="s">
        <v>145</v>
      </c>
      <c r="C29" s="20" t="s">
        <v>146</v>
      </c>
      <c r="D29" s="20" t="s">
        <v>145</v>
      </c>
      <c r="E29" s="20" t="s">
        <v>140</v>
      </c>
      <c r="F29" s="20" t="s">
        <v>145</v>
      </c>
      <c r="G29" s="19">
        <v>0</v>
      </c>
      <c r="H29" s="20" t="s">
        <v>147</v>
      </c>
      <c r="I29" s="20" t="s">
        <v>186</v>
      </c>
      <c r="J29" s="20" t="s">
        <v>149</v>
      </c>
    </row>
    <row r="30" spans="1:10" x14ac:dyDescent="0.35">
      <c r="A30" s="20" t="s">
        <v>146</v>
      </c>
      <c r="B30" s="20" t="s">
        <v>150</v>
      </c>
      <c r="C30" s="20" t="s">
        <v>151</v>
      </c>
      <c r="D30" s="20" t="s">
        <v>150</v>
      </c>
      <c r="E30" s="20" t="s">
        <v>146</v>
      </c>
      <c r="F30" s="20" t="s">
        <v>150</v>
      </c>
      <c r="G30" s="19">
        <v>0</v>
      </c>
      <c r="H30" s="20" t="s">
        <v>152</v>
      </c>
      <c r="I30" s="20" t="s">
        <v>186</v>
      </c>
      <c r="J30" s="20" t="s">
        <v>149</v>
      </c>
    </row>
    <row r="31" spans="1:10" x14ac:dyDescent="0.35">
      <c r="A31" s="20" t="s">
        <v>151</v>
      </c>
      <c r="B31" s="20" t="s">
        <v>153</v>
      </c>
      <c r="C31" s="20" t="s">
        <v>154</v>
      </c>
      <c r="D31" s="20" t="s">
        <v>153</v>
      </c>
      <c r="E31" s="20" t="s">
        <v>151</v>
      </c>
      <c r="F31" s="20" t="s">
        <v>153</v>
      </c>
      <c r="G31" s="19">
        <v>0</v>
      </c>
      <c r="H31" s="20" t="s">
        <v>155</v>
      </c>
      <c r="I31" s="20" t="s">
        <v>184</v>
      </c>
      <c r="J31" s="20" t="s">
        <v>47</v>
      </c>
    </row>
    <row r="32" spans="1:10" x14ac:dyDescent="0.35">
      <c r="A32" s="20" t="s">
        <v>154</v>
      </c>
      <c r="B32" s="20" t="s">
        <v>156</v>
      </c>
      <c r="C32" s="20" t="s">
        <v>157</v>
      </c>
      <c r="D32" s="20" t="s">
        <v>156</v>
      </c>
      <c r="E32" s="20" t="s">
        <v>187</v>
      </c>
      <c r="F32" s="20" t="s">
        <v>115</v>
      </c>
      <c r="G32" s="19">
        <v>0</v>
      </c>
      <c r="H32" s="20" t="s">
        <v>188</v>
      </c>
      <c r="I32" s="20" t="s">
        <v>184</v>
      </c>
      <c r="J32" s="20" t="s">
        <v>189</v>
      </c>
    </row>
    <row r="33" spans="1:10" x14ac:dyDescent="0.35">
      <c r="A33" s="20" t="s">
        <v>157</v>
      </c>
      <c r="B33" s="20" t="s">
        <v>161</v>
      </c>
      <c r="C33" s="20" t="s">
        <v>190</v>
      </c>
      <c r="D33" s="20" t="s">
        <v>161</v>
      </c>
      <c r="E33" s="20" t="s">
        <v>126</v>
      </c>
      <c r="F33" s="20" t="s">
        <v>115</v>
      </c>
      <c r="G33" s="19">
        <v>0</v>
      </c>
      <c r="H33" s="20" t="s">
        <v>191</v>
      </c>
      <c r="I33" s="20" t="s">
        <v>184</v>
      </c>
      <c r="J33" s="20" t="s">
        <v>192</v>
      </c>
    </row>
    <row r="34" spans="1:10" x14ac:dyDescent="0.35">
      <c r="A34" s="20" t="s">
        <v>190</v>
      </c>
      <c r="B34" s="20" t="s">
        <v>193</v>
      </c>
      <c r="C34" s="20" t="s">
        <v>183</v>
      </c>
      <c r="D34" s="20" t="s">
        <v>193</v>
      </c>
      <c r="E34" s="20" t="s">
        <v>190</v>
      </c>
      <c r="F34" s="20" t="s">
        <v>193</v>
      </c>
      <c r="G34" s="19">
        <v>0</v>
      </c>
      <c r="H34" s="20" t="s">
        <v>194</v>
      </c>
      <c r="I34" s="20" t="s">
        <v>184</v>
      </c>
      <c r="J34" s="20" t="s">
        <v>47</v>
      </c>
    </row>
    <row r="35" spans="1:10" x14ac:dyDescent="0.35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spans="1:10" x14ac:dyDescent="0.35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spans="1:10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spans="1:10" x14ac:dyDescent="0.35">
      <c r="A38" s="19"/>
      <c r="B38" s="19"/>
      <c r="C38" s="19"/>
      <c r="D38" s="19"/>
      <c r="E38" s="19"/>
      <c r="F38" s="19"/>
      <c r="G38" s="19"/>
      <c r="H38" s="19"/>
      <c r="I38" s="19"/>
      <c r="J38" s="1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6318-E075-42B3-B927-42BBDE42A05A}">
  <dimension ref="A1:L33"/>
  <sheetViews>
    <sheetView tabSelected="1" workbookViewId="0">
      <selection activeCell="N17" sqref="N17"/>
    </sheetView>
  </sheetViews>
  <sheetFormatPr defaultRowHeight="14.5" x14ac:dyDescent="0.35"/>
  <sheetData>
    <row r="1" spans="1:12" x14ac:dyDescent="0.35">
      <c r="A1" s="21" t="s">
        <v>195</v>
      </c>
      <c r="B1" s="22" t="s">
        <v>196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2" t="s">
        <v>31</v>
      </c>
      <c r="K1" s="25" t="s">
        <v>195</v>
      </c>
      <c r="L1" s="25" t="s">
        <v>196</v>
      </c>
    </row>
    <row r="2" spans="1:12" x14ac:dyDescent="0.35">
      <c r="A2" s="23" t="s">
        <v>111</v>
      </c>
      <c r="B2" s="29" t="s">
        <v>112</v>
      </c>
      <c r="C2" s="23" t="s">
        <v>113</v>
      </c>
      <c r="D2" s="23" t="s">
        <v>112</v>
      </c>
      <c r="E2" s="23" t="s">
        <v>111</v>
      </c>
      <c r="F2" s="23" t="s">
        <v>112</v>
      </c>
      <c r="G2" s="23" t="s">
        <v>114</v>
      </c>
      <c r="H2" s="23" t="s">
        <v>115</v>
      </c>
      <c r="I2" s="23" t="s">
        <v>18</v>
      </c>
      <c r="K2" s="26"/>
      <c r="L2" s="26"/>
    </row>
    <row r="3" spans="1:12" x14ac:dyDescent="0.35">
      <c r="A3" s="23" t="s">
        <v>113</v>
      </c>
      <c r="B3" s="23" t="s">
        <v>116</v>
      </c>
      <c r="C3" s="23" t="s">
        <v>117</v>
      </c>
      <c r="D3" s="23" t="s">
        <v>116</v>
      </c>
      <c r="E3" s="23" t="s">
        <v>118</v>
      </c>
      <c r="F3" s="23" t="s">
        <v>115</v>
      </c>
      <c r="G3" s="23" t="s">
        <v>119</v>
      </c>
      <c r="H3" s="23" t="s">
        <v>115</v>
      </c>
      <c r="I3" s="24" t="s">
        <v>18</v>
      </c>
      <c r="K3" s="26" t="s">
        <v>35</v>
      </c>
      <c r="L3" s="27" t="s">
        <v>47</v>
      </c>
    </row>
    <row r="4" spans="1:12" x14ac:dyDescent="0.35">
      <c r="A4" s="23" t="s">
        <v>117</v>
      </c>
      <c r="B4" s="23" t="s">
        <v>121</v>
      </c>
      <c r="C4" s="23" t="s">
        <v>122</v>
      </c>
      <c r="D4" s="23" t="s">
        <v>121</v>
      </c>
      <c r="E4" s="23" t="s">
        <v>117</v>
      </c>
      <c r="F4" s="23" t="s">
        <v>123</v>
      </c>
      <c r="G4" s="23" t="s">
        <v>123</v>
      </c>
      <c r="H4" s="23" t="s">
        <v>123</v>
      </c>
      <c r="I4" s="23" t="s">
        <v>47</v>
      </c>
      <c r="K4" s="26"/>
      <c r="L4" s="26"/>
    </row>
    <row r="5" spans="1:12" x14ac:dyDescent="0.35">
      <c r="A5" s="23" t="s">
        <v>122</v>
      </c>
      <c r="B5" s="23" t="s">
        <v>124</v>
      </c>
      <c r="C5" s="23" t="s">
        <v>125</v>
      </c>
      <c r="D5" s="23" t="s">
        <v>124</v>
      </c>
      <c r="E5" s="23" t="s">
        <v>126</v>
      </c>
      <c r="F5" s="23" t="s">
        <v>123</v>
      </c>
      <c r="G5" s="23" t="s">
        <v>127</v>
      </c>
      <c r="H5" s="23" t="s">
        <v>123</v>
      </c>
      <c r="I5" s="24" t="s">
        <v>47</v>
      </c>
      <c r="K5" s="33" t="s">
        <v>37</v>
      </c>
      <c r="L5" s="34" t="s">
        <v>201</v>
      </c>
    </row>
    <row r="6" spans="1:12" x14ac:dyDescent="0.35">
      <c r="A6" s="23" t="s">
        <v>125</v>
      </c>
      <c r="B6" s="23" t="s">
        <v>129</v>
      </c>
      <c r="C6" s="23" t="s">
        <v>130</v>
      </c>
      <c r="D6" s="23" t="s">
        <v>129</v>
      </c>
      <c r="E6" s="23" t="s">
        <v>131</v>
      </c>
      <c r="F6" s="23" t="s">
        <v>132</v>
      </c>
      <c r="G6" s="23" t="s">
        <v>133</v>
      </c>
      <c r="H6" s="23" t="s">
        <v>134</v>
      </c>
      <c r="I6" s="23" t="s">
        <v>47</v>
      </c>
      <c r="K6" s="26"/>
      <c r="L6" s="26"/>
    </row>
    <row r="7" spans="1:12" x14ac:dyDescent="0.35">
      <c r="A7" s="23" t="s">
        <v>130</v>
      </c>
      <c r="B7" s="23" t="s">
        <v>135</v>
      </c>
      <c r="C7" s="23" t="s">
        <v>136</v>
      </c>
      <c r="D7" s="23" t="s">
        <v>135</v>
      </c>
      <c r="E7" s="23" t="s">
        <v>137</v>
      </c>
      <c r="F7" s="23" t="s">
        <v>134</v>
      </c>
      <c r="G7" s="23" t="s">
        <v>133</v>
      </c>
      <c r="H7" s="23" t="s">
        <v>134</v>
      </c>
      <c r="I7" s="24" t="s">
        <v>115</v>
      </c>
      <c r="K7" s="26" t="s">
        <v>137</v>
      </c>
      <c r="L7" s="27" t="s">
        <v>197</v>
      </c>
    </row>
    <row r="8" spans="1:12" x14ac:dyDescent="0.35">
      <c r="A8" s="30" t="s">
        <v>136</v>
      </c>
      <c r="B8" s="30" t="s">
        <v>139</v>
      </c>
      <c r="C8" s="23" t="s">
        <v>140</v>
      </c>
      <c r="D8" s="23" t="s">
        <v>139</v>
      </c>
      <c r="E8" s="23" t="s">
        <v>141</v>
      </c>
      <c r="F8" s="23" t="s">
        <v>142</v>
      </c>
      <c r="G8" s="23" t="s">
        <v>143</v>
      </c>
      <c r="H8" s="23" t="s">
        <v>142</v>
      </c>
      <c r="I8" s="24" t="s">
        <v>115</v>
      </c>
      <c r="K8" s="26" t="s">
        <v>137</v>
      </c>
      <c r="L8" s="27" t="s">
        <v>202</v>
      </c>
    </row>
    <row r="9" spans="1:12" x14ac:dyDescent="0.35">
      <c r="A9" s="23" t="s">
        <v>140</v>
      </c>
      <c r="B9" s="23" t="s">
        <v>145</v>
      </c>
      <c r="C9" s="23" t="s">
        <v>146</v>
      </c>
      <c r="D9" s="23" t="s">
        <v>145</v>
      </c>
      <c r="E9" s="23" t="s">
        <v>140</v>
      </c>
      <c r="F9" s="23" t="s">
        <v>145</v>
      </c>
      <c r="G9" s="23" t="s">
        <v>147</v>
      </c>
      <c r="H9" s="23" t="s">
        <v>148</v>
      </c>
      <c r="I9" s="23" t="s">
        <v>149</v>
      </c>
      <c r="K9" s="26"/>
      <c r="L9" s="26"/>
    </row>
    <row r="10" spans="1:12" x14ac:dyDescent="0.35">
      <c r="A10" s="23" t="s">
        <v>146</v>
      </c>
      <c r="B10" s="31" t="s">
        <v>150</v>
      </c>
      <c r="C10" s="23" t="s">
        <v>151</v>
      </c>
      <c r="D10" s="23" t="s">
        <v>150</v>
      </c>
      <c r="E10" s="23" t="s">
        <v>146</v>
      </c>
      <c r="F10" s="23" t="s">
        <v>150</v>
      </c>
      <c r="G10" s="23" t="s">
        <v>152</v>
      </c>
      <c r="H10" s="23" t="s">
        <v>148</v>
      </c>
      <c r="I10" s="29" t="s">
        <v>149</v>
      </c>
      <c r="K10" s="26"/>
      <c r="L10" s="26"/>
    </row>
    <row r="11" spans="1:12" x14ac:dyDescent="0.35">
      <c r="A11" s="23" t="s">
        <v>151</v>
      </c>
      <c r="B11" s="23" t="s">
        <v>153</v>
      </c>
      <c r="C11" s="23" t="s">
        <v>154</v>
      </c>
      <c r="D11" s="23" t="s">
        <v>153</v>
      </c>
      <c r="E11" s="23" t="s">
        <v>151</v>
      </c>
      <c r="F11" s="23" t="s">
        <v>153</v>
      </c>
      <c r="G11" s="23" t="s">
        <v>155</v>
      </c>
      <c r="H11" s="23" t="s">
        <v>142</v>
      </c>
      <c r="I11" s="23" t="s">
        <v>47</v>
      </c>
      <c r="K11" s="26"/>
      <c r="L11" s="26"/>
    </row>
    <row r="12" spans="1:12" x14ac:dyDescent="0.35">
      <c r="A12" s="23" t="s">
        <v>154</v>
      </c>
      <c r="B12" s="23" t="s">
        <v>156</v>
      </c>
      <c r="C12" s="23" t="s">
        <v>157</v>
      </c>
      <c r="D12" s="23" t="s">
        <v>156</v>
      </c>
      <c r="E12" s="23" t="s">
        <v>158</v>
      </c>
      <c r="F12" s="23" t="s">
        <v>115</v>
      </c>
      <c r="G12" s="23" t="s">
        <v>159</v>
      </c>
      <c r="H12" s="23" t="s">
        <v>142</v>
      </c>
      <c r="I12" s="24" t="s">
        <v>115</v>
      </c>
      <c r="K12" s="26" t="s">
        <v>118</v>
      </c>
      <c r="L12" s="27" t="s">
        <v>200</v>
      </c>
    </row>
    <row r="13" spans="1:12" x14ac:dyDescent="0.35">
      <c r="A13" s="23" t="s">
        <v>157</v>
      </c>
      <c r="B13" s="23" t="s">
        <v>161</v>
      </c>
      <c r="C13" s="23" t="s">
        <v>162</v>
      </c>
      <c r="D13" s="23" t="s">
        <v>161</v>
      </c>
      <c r="E13" s="23" t="s">
        <v>126</v>
      </c>
      <c r="F13" s="23" t="s">
        <v>163</v>
      </c>
      <c r="G13" s="23" t="s">
        <v>164</v>
      </c>
      <c r="H13" s="23" t="s">
        <v>142</v>
      </c>
      <c r="I13" s="24" t="s">
        <v>115</v>
      </c>
      <c r="K13" s="33" t="s">
        <v>126</v>
      </c>
      <c r="L13" s="34" t="s">
        <v>198</v>
      </c>
    </row>
    <row r="14" spans="1:12" x14ac:dyDescent="0.35">
      <c r="A14" s="23" t="s">
        <v>162</v>
      </c>
      <c r="B14" s="23" t="s">
        <v>166</v>
      </c>
      <c r="C14" s="23" t="s">
        <v>136</v>
      </c>
      <c r="D14" s="23" t="s">
        <v>166</v>
      </c>
      <c r="E14" s="23" t="s">
        <v>162</v>
      </c>
      <c r="F14" s="23" t="s">
        <v>167</v>
      </c>
      <c r="G14" s="23" t="s">
        <v>168</v>
      </c>
      <c r="H14" s="23" t="s">
        <v>142</v>
      </c>
      <c r="I14" s="23" t="s">
        <v>47</v>
      </c>
      <c r="K14" s="26"/>
      <c r="L14" s="26"/>
    </row>
    <row r="15" spans="1:12" x14ac:dyDescent="0.35">
      <c r="A15" s="30" t="s">
        <v>136</v>
      </c>
      <c r="B15" s="30" t="s">
        <v>139</v>
      </c>
      <c r="C15" s="23" t="s">
        <v>140</v>
      </c>
      <c r="D15" s="23" t="s">
        <v>139</v>
      </c>
      <c r="E15" s="23" t="s">
        <v>169</v>
      </c>
      <c r="F15" s="23" t="s">
        <v>170</v>
      </c>
      <c r="G15" s="23" t="s">
        <v>143</v>
      </c>
      <c r="H15" s="23" t="s">
        <v>170</v>
      </c>
      <c r="I15" s="24" t="s">
        <v>115</v>
      </c>
      <c r="K15" s="23" t="s">
        <v>137</v>
      </c>
      <c r="L15" s="24" t="s">
        <v>203</v>
      </c>
    </row>
    <row r="16" spans="1:12" x14ac:dyDescent="0.35">
      <c r="A16" s="23" t="s">
        <v>140</v>
      </c>
      <c r="B16" s="23" t="s">
        <v>145</v>
      </c>
      <c r="C16" s="23" t="s">
        <v>146</v>
      </c>
      <c r="D16" s="23" t="s">
        <v>145</v>
      </c>
      <c r="E16" s="23" t="s">
        <v>140</v>
      </c>
      <c r="F16" s="23" t="s">
        <v>145</v>
      </c>
      <c r="G16" s="23" t="s">
        <v>147</v>
      </c>
      <c r="H16" s="23" t="s">
        <v>172</v>
      </c>
      <c r="I16" s="23" t="s">
        <v>47</v>
      </c>
      <c r="K16" s="26"/>
      <c r="L16" s="26"/>
    </row>
    <row r="17" spans="1:12" x14ac:dyDescent="0.35">
      <c r="A17" s="23" t="s">
        <v>146</v>
      </c>
      <c r="B17" s="31" t="s">
        <v>150</v>
      </c>
      <c r="C17" s="23" t="s">
        <v>173</v>
      </c>
      <c r="D17" s="23" t="s">
        <v>150</v>
      </c>
      <c r="E17" s="23" t="s">
        <v>146</v>
      </c>
      <c r="F17" s="23" t="s">
        <v>150</v>
      </c>
      <c r="G17" s="23" t="s">
        <v>174</v>
      </c>
      <c r="H17" s="23" t="s">
        <v>172</v>
      </c>
      <c r="I17" s="23" t="s">
        <v>47</v>
      </c>
      <c r="K17" s="26"/>
      <c r="L17" s="26"/>
    </row>
    <row r="18" spans="1:12" x14ac:dyDescent="0.35">
      <c r="A18" s="23" t="s">
        <v>173</v>
      </c>
      <c r="B18" s="23" t="s">
        <v>175</v>
      </c>
      <c r="C18" s="23" t="s">
        <v>157</v>
      </c>
      <c r="D18" s="23" t="s">
        <v>175</v>
      </c>
      <c r="E18" s="23" t="s">
        <v>173</v>
      </c>
      <c r="F18" s="23" t="s">
        <v>176</v>
      </c>
      <c r="G18" s="23" t="s">
        <v>164</v>
      </c>
      <c r="H18" s="23" t="s">
        <v>172</v>
      </c>
      <c r="I18" s="23" t="s">
        <v>47</v>
      </c>
      <c r="K18" s="26"/>
      <c r="L18" s="26"/>
    </row>
    <row r="19" spans="1:12" x14ac:dyDescent="0.35">
      <c r="A19" s="23" t="s">
        <v>157</v>
      </c>
      <c r="B19" s="23" t="s">
        <v>161</v>
      </c>
      <c r="C19" s="23" t="s">
        <v>162</v>
      </c>
      <c r="D19" s="23" t="s">
        <v>161</v>
      </c>
      <c r="E19" s="23" t="s">
        <v>126</v>
      </c>
      <c r="F19" s="23" t="s">
        <v>164</v>
      </c>
      <c r="G19" s="23" t="s">
        <v>152</v>
      </c>
      <c r="H19" s="23" t="s">
        <v>172</v>
      </c>
      <c r="I19" s="24" t="s">
        <v>115</v>
      </c>
      <c r="K19" s="35" t="s">
        <v>126</v>
      </c>
      <c r="L19" s="36" t="s">
        <v>199</v>
      </c>
    </row>
    <row r="20" spans="1:12" x14ac:dyDescent="0.35">
      <c r="A20" s="23" t="s">
        <v>162</v>
      </c>
      <c r="B20" s="23" t="s">
        <v>166</v>
      </c>
      <c r="C20" s="23" t="s">
        <v>136</v>
      </c>
      <c r="D20" s="23" t="s">
        <v>166</v>
      </c>
      <c r="E20" s="23" t="s">
        <v>162</v>
      </c>
      <c r="F20" s="23" t="s">
        <v>167</v>
      </c>
      <c r="G20" s="23" t="s">
        <v>168</v>
      </c>
      <c r="H20" s="23" t="s">
        <v>172</v>
      </c>
      <c r="I20" s="23" t="s">
        <v>47</v>
      </c>
      <c r="K20" s="26"/>
      <c r="L20" s="26"/>
    </row>
    <row r="21" spans="1:12" x14ac:dyDescent="0.35">
      <c r="A21" s="30" t="s">
        <v>136</v>
      </c>
      <c r="B21" s="30" t="s">
        <v>139</v>
      </c>
      <c r="C21" s="23" t="s">
        <v>140</v>
      </c>
      <c r="D21" s="23" t="s">
        <v>139</v>
      </c>
      <c r="E21" s="23" t="s">
        <v>178</v>
      </c>
      <c r="F21" s="23" t="s">
        <v>179</v>
      </c>
      <c r="G21" s="23" t="s">
        <v>143</v>
      </c>
      <c r="H21" s="23" t="s">
        <v>179</v>
      </c>
      <c r="I21" s="24" t="s">
        <v>115</v>
      </c>
      <c r="K21" s="26" t="s">
        <v>137</v>
      </c>
      <c r="L21" s="27" t="s">
        <v>204</v>
      </c>
    </row>
    <row r="22" spans="1:12" x14ac:dyDescent="0.35">
      <c r="A22" s="23" t="s">
        <v>140</v>
      </c>
      <c r="B22" s="23" t="s">
        <v>145</v>
      </c>
      <c r="C22" s="23" t="s">
        <v>146</v>
      </c>
      <c r="D22" s="23" t="s">
        <v>145</v>
      </c>
      <c r="E22" s="23" t="s">
        <v>140</v>
      </c>
      <c r="F22" s="23" t="s">
        <v>145</v>
      </c>
      <c r="G22" s="23" t="s">
        <v>147</v>
      </c>
      <c r="H22" s="23" t="s">
        <v>181</v>
      </c>
      <c r="I22" s="23" t="s">
        <v>47</v>
      </c>
      <c r="K22" s="26"/>
      <c r="L22" s="26"/>
    </row>
    <row r="23" spans="1:12" x14ac:dyDescent="0.35">
      <c r="A23" s="23" t="s">
        <v>146</v>
      </c>
      <c r="B23" s="31" t="s">
        <v>150</v>
      </c>
      <c r="C23" s="23" t="s">
        <v>173</v>
      </c>
      <c r="D23" s="23" t="s">
        <v>150</v>
      </c>
      <c r="E23" s="23" t="s">
        <v>146</v>
      </c>
      <c r="F23" s="23" t="s">
        <v>150</v>
      </c>
      <c r="G23" s="23" t="s">
        <v>174</v>
      </c>
      <c r="H23" s="23" t="s">
        <v>181</v>
      </c>
      <c r="I23" s="23" t="s">
        <v>47</v>
      </c>
      <c r="K23" s="26"/>
      <c r="L23" s="26"/>
    </row>
    <row r="24" spans="1:12" x14ac:dyDescent="0.35">
      <c r="A24" s="23" t="s">
        <v>173</v>
      </c>
      <c r="B24" s="23" t="s">
        <v>175</v>
      </c>
      <c r="C24" s="23" t="s">
        <v>157</v>
      </c>
      <c r="D24" s="23" t="s">
        <v>175</v>
      </c>
      <c r="E24" s="23" t="s">
        <v>173</v>
      </c>
      <c r="F24" s="23" t="s">
        <v>176</v>
      </c>
      <c r="G24" s="23" t="s">
        <v>164</v>
      </c>
      <c r="H24" s="23" t="s">
        <v>181</v>
      </c>
      <c r="I24" s="23" t="s">
        <v>47</v>
      </c>
      <c r="K24" s="26"/>
      <c r="L24" s="26"/>
    </row>
    <row r="25" spans="1:12" x14ac:dyDescent="0.35">
      <c r="A25" s="23" t="s">
        <v>157</v>
      </c>
      <c r="B25" s="23" t="s">
        <v>161</v>
      </c>
      <c r="C25" s="23" t="s">
        <v>162</v>
      </c>
      <c r="D25" s="23" t="s">
        <v>161</v>
      </c>
      <c r="E25" s="23" t="s">
        <v>126</v>
      </c>
      <c r="F25" s="23" t="s">
        <v>152</v>
      </c>
      <c r="G25" s="23" t="s">
        <v>115</v>
      </c>
      <c r="H25" s="23" t="s">
        <v>181</v>
      </c>
      <c r="I25" s="24" t="s">
        <v>115</v>
      </c>
      <c r="K25" s="35" t="s">
        <v>126</v>
      </c>
      <c r="L25" s="36" t="s">
        <v>200</v>
      </c>
    </row>
    <row r="26" spans="1:12" x14ac:dyDescent="0.35">
      <c r="A26" s="23" t="s">
        <v>162</v>
      </c>
      <c r="B26" s="23" t="s">
        <v>166</v>
      </c>
      <c r="C26" s="23" t="s">
        <v>136</v>
      </c>
      <c r="D26" s="23" t="s">
        <v>166</v>
      </c>
      <c r="E26" s="23" t="s">
        <v>162</v>
      </c>
      <c r="F26" s="23" t="s">
        <v>167</v>
      </c>
      <c r="G26" s="23" t="s">
        <v>168</v>
      </c>
      <c r="H26" s="23" t="s">
        <v>181</v>
      </c>
      <c r="I26" s="23" t="s">
        <v>47</v>
      </c>
      <c r="K26" s="26"/>
      <c r="L26" s="26"/>
    </row>
    <row r="27" spans="1:12" x14ac:dyDescent="0.35">
      <c r="A27" s="30" t="s">
        <v>136</v>
      </c>
      <c r="B27" s="30" t="s">
        <v>139</v>
      </c>
      <c r="C27" s="23" t="s">
        <v>140</v>
      </c>
      <c r="D27" s="23" t="s">
        <v>139</v>
      </c>
      <c r="E27" s="23" t="s">
        <v>183</v>
      </c>
      <c r="F27" s="23" t="s">
        <v>184</v>
      </c>
      <c r="G27" s="23" t="s">
        <v>143</v>
      </c>
      <c r="H27" s="23" t="s">
        <v>184</v>
      </c>
      <c r="I27" s="24" t="s">
        <v>115</v>
      </c>
      <c r="K27" s="23" t="s">
        <v>137</v>
      </c>
      <c r="L27" s="24" t="s">
        <v>1</v>
      </c>
    </row>
    <row r="28" spans="1:12" x14ac:dyDescent="0.35">
      <c r="A28" s="23" t="s">
        <v>140</v>
      </c>
      <c r="B28" s="23" t="s">
        <v>145</v>
      </c>
      <c r="C28" s="23" t="s">
        <v>146</v>
      </c>
      <c r="D28" s="23" t="s">
        <v>145</v>
      </c>
      <c r="E28" s="23" t="s">
        <v>140</v>
      </c>
      <c r="F28" s="23" t="s">
        <v>145</v>
      </c>
      <c r="G28" s="23" t="s">
        <v>147</v>
      </c>
      <c r="H28" s="23" t="s">
        <v>186</v>
      </c>
      <c r="I28" s="23" t="s">
        <v>149</v>
      </c>
      <c r="K28" s="26"/>
      <c r="L28" s="26"/>
    </row>
    <row r="29" spans="1:12" x14ac:dyDescent="0.35">
      <c r="A29" s="23" t="s">
        <v>146</v>
      </c>
      <c r="B29" s="31" t="s">
        <v>150</v>
      </c>
      <c r="C29" s="23" t="s">
        <v>151</v>
      </c>
      <c r="D29" s="23" t="s">
        <v>150</v>
      </c>
      <c r="E29" s="23" t="s">
        <v>146</v>
      </c>
      <c r="F29" s="23" t="s">
        <v>150</v>
      </c>
      <c r="G29" s="23" t="s">
        <v>152</v>
      </c>
      <c r="H29" s="23" t="s">
        <v>186</v>
      </c>
      <c r="I29" s="29" t="s">
        <v>149</v>
      </c>
      <c r="K29" s="26"/>
      <c r="L29" s="26"/>
    </row>
    <row r="30" spans="1:12" x14ac:dyDescent="0.35">
      <c r="A30" s="23" t="s">
        <v>151</v>
      </c>
      <c r="B30" s="23" t="s">
        <v>153</v>
      </c>
      <c r="C30" s="23" t="s">
        <v>154</v>
      </c>
      <c r="D30" s="23" t="s">
        <v>153</v>
      </c>
      <c r="E30" s="23" t="s">
        <v>151</v>
      </c>
      <c r="F30" s="23" t="s">
        <v>153</v>
      </c>
      <c r="G30" s="23" t="s">
        <v>155</v>
      </c>
      <c r="H30" s="23" t="s">
        <v>184</v>
      </c>
      <c r="I30" s="23" t="s">
        <v>47</v>
      </c>
      <c r="K30" s="26"/>
      <c r="L30" s="26"/>
    </row>
    <row r="31" spans="1:12" x14ac:dyDescent="0.35">
      <c r="A31" s="23" t="s">
        <v>154</v>
      </c>
      <c r="B31" s="23" t="s">
        <v>156</v>
      </c>
      <c r="C31" s="23" t="s">
        <v>157</v>
      </c>
      <c r="D31" s="23" t="s">
        <v>156</v>
      </c>
      <c r="E31" s="23" t="s">
        <v>187</v>
      </c>
      <c r="F31" s="23" t="s">
        <v>115</v>
      </c>
      <c r="G31" s="23" t="s">
        <v>188</v>
      </c>
      <c r="H31" s="23" t="s">
        <v>184</v>
      </c>
      <c r="I31" s="24" t="s">
        <v>115</v>
      </c>
      <c r="K31" s="26" t="s">
        <v>118</v>
      </c>
      <c r="L31" s="32" t="s">
        <v>199</v>
      </c>
    </row>
    <row r="32" spans="1:12" x14ac:dyDescent="0.35">
      <c r="A32" s="23" t="s">
        <v>157</v>
      </c>
      <c r="B32" s="23" t="s">
        <v>161</v>
      </c>
      <c r="C32" s="23" t="s">
        <v>190</v>
      </c>
      <c r="D32" s="23" t="s">
        <v>161</v>
      </c>
      <c r="E32" s="23" t="s">
        <v>126</v>
      </c>
      <c r="F32" s="23" t="s">
        <v>115</v>
      </c>
      <c r="G32" s="23" t="s">
        <v>191</v>
      </c>
      <c r="H32" s="23" t="s">
        <v>184</v>
      </c>
      <c r="I32" s="24" t="s">
        <v>115</v>
      </c>
      <c r="K32" s="35" t="s">
        <v>126</v>
      </c>
      <c r="L32" s="34" t="s">
        <v>47</v>
      </c>
    </row>
    <row r="33" spans="1:12" x14ac:dyDescent="0.35">
      <c r="A33" s="23" t="s">
        <v>190</v>
      </c>
      <c r="B33" s="28" t="s">
        <v>193</v>
      </c>
      <c r="C33" s="23" t="s">
        <v>183</v>
      </c>
      <c r="D33" s="23" t="s">
        <v>193</v>
      </c>
      <c r="E33" s="23" t="s">
        <v>190</v>
      </c>
      <c r="F33" s="23" t="s">
        <v>193</v>
      </c>
      <c r="G33" s="23" t="s">
        <v>194</v>
      </c>
      <c r="H33" s="23" t="s">
        <v>184</v>
      </c>
      <c r="I33" s="23" t="s">
        <v>47</v>
      </c>
      <c r="K33" s="26"/>
      <c r="L33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43700A-614A-4409-A6B3-9A2F0AFAB7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trace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Фёдор Веселов</dc:creator>
  <cp:lastModifiedBy>Фёдор Веселов</cp:lastModifiedBy>
  <dcterms:created xsi:type="dcterms:W3CDTF">2026-02-05T15:58:10Z</dcterms:created>
  <dcterms:modified xsi:type="dcterms:W3CDTF">2026-02-21T08:23:16Z</dcterms:modified>
</cp:coreProperties>
</file>
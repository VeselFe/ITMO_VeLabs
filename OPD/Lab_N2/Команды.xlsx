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ca7ffefce86dfb/ИТМО/Лабы_по_ОПД/Лаб №2/"/>
    </mc:Choice>
  </mc:AlternateContent>
  <xr:revisionPtr revIDLastSave="3" documentId="13_ncr:1_{8D9BDE44-6DD6-4694-BE50-AD6B4DBB93D2}" xr6:coauthVersionLast="47" xr6:coauthVersionMax="47" xr10:uidLastSave="{41936F9A-A5D5-4562-A144-089E1875EA86}"/>
  <bookViews>
    <workbookView xWindow="-110" yWindow="-110" windowWidth="25820" windowHeight="15500" xr2:uid="{9CECC29F-5A98-43A0-A956-92C6CD7C0F07}"/>
  </bookViews>
  <sheets>
    <sheet name="Лист1" sheetId="1" r:id="rId1"/>
    <sheet name="Лист3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2" l="1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10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</calcChain>
</file>

<file path=xl/sharedStrings.xml><?xml version="1.0" encoding="utf-8"?>
<sst xmlns="http://schemas.openxmlformats.org/spreadsheetml/2006/main" count="750" uniqueCount="199">
  <si>
    <t>Адрес</t>
  </si>
  <si>
    <t>Команда
Ячейка</t>
  </si>
  <si>
    <t>Мнемоника</t>
  </si>
  <si>
    <t>Комментарий</t>
  </si>
  <si>
    <t>030</t>
  </si>
  <si>
    <t>205D</t>
  </si>
  <si>
    <t>-</t>
  </si>
  <si>
    <t>Переменная X7</t>
  </si>
  <si>
    <t>031</t>
  </si>
  <si>
    <t>A059</t>
  </si>
  <si>
    <t>Переменная X4</t>
  </si>
  <si>
    <t>032</t>
  </si>
  <si>
    <t>Переменная X1</t>
  </si>
  <si>
    <t>033</t>
  </si>
  <si>
    <t>0200</t>
  </si>
  <si>
    <t>Переменная X6</t>
  </si>
  <si>
    <t>034</t>
  </si>
  <si>
    <t>A031</t>
  </si>
  <si>
    <t>Переменная X3</t>
  </si>
  <si>
    <t>035</t>
  </si>
  <si>
    <t>E05D</t>
  </si>
  <si>
    <t>Переменная Y</t>
  </si>
  <si>
    <t>036</t>
  </si>
  <si>
    <t>Переменная X8</t>
  </si>
  <si>
    <t>037</t>
  </si>
  <si>
    <t>A032</t>
  </si>
  <si>
    <t>LD 032</t>
  </si>
  <si>
    <t>(032) → AC</t>
  </si>
  <si>
    <t>AC: X1</t>
  </si>
  <si>
    <t>038</t>
  </si>
  <si>
    <t>305B</t>
  </si>
  <si>
    <t>OR 05B</t>
  </si>
  <si>
    <t>(05B) | AC → AC</t>
  </si>
  <si>
    <t>AC: X1 | X2</t>
  </si>
  <si>
    <t>039</t>
  </si>
  <si>
    <t>ST 05D</t>
  </si>
  <si>
    <t>AC → (05D)</t>
  </si>
  <si>
    <t>05D: X1 | X2</t>
  </si>
  <si>
    <t>-AC -&gt; AC</t>
  </si>
  <si>
    <t>03A</t>
  </si>
  <si>
    <t>CLA</t>
  </si>
  <si>
    <t>0 → AC</t>
  </si>
  <si>
    <t>AC: 0</t>
  </si>
  <si>
    <t>03B</t>
  </si>
  <si>
    <t>4034</t>
  </si>
  <si>
    <t>ADD (034)</t>
  </si>
  <si>
    <t>(034) + AC → AC</t>
  </si>
  <si>
    <t>AC: X3</t>
  </si>
  <si>
    <t>03C</t>
  </si>
  <si>
    <t>605D</t>
  </si>
  <si>
    <t>SUB (05D)</t>
  </si>
  <si>
    <t>AC - (05D) → AC</t>
  </si>
  <si>
    <t>AC: X3 - (X1 | X2)</t>
  </si>
  <si>
    <t>(05D) + AC -&gt; AC</t>
  </si>
  <si>
    <t>03D</t>
  </si>
  <si>
    <t>ST (05D)</t>
  </si>
  <si>
    <t>05D: X3 - (X1 | X2)</t>
  </si>
  <si>
    <t>(031) &amp; AC - &gt; AC</t>
  </si>
  <si>
    <t>03E</t>
  </si>
  <si>
    <t>LD (031)</t>
  </si>
  <si>
    <t>(031) → AC</t>
  </si>
  <si>
    <t>AC: X4</t>
  </si>
  <si>
    <t>03F</t>
  </si>
  <si>
    <t>AND (05D)</t>
  </si>
  <si>
    <t>(05D) &amp; AC → AC</t>
  </si>
  <si>
    <t>AC: (X3 - (X1 | X2)) &amp; X4</t>
  </si>
  <si>
    <t>040</t>
  </si>
  <si>
    <t>05D: (X3 - (X1 | X2)) &amp; X4</t>
  </si>
  <si>
    <t>041</t>
  </si>
  <si>
    <t>LD (059)</t>
  </si>
  <si>
    <t>(059) → AC</t>
  </si>
  <si>
    <t>AC: X5</t>
  </si>
  <si>
    <t>042</t>
  </si>
  <si>
    <t>AC: X5 - ((X3 - (X1 | X2)) &amp; X4)</t>
  </si>
  <si>
    <t>(059) + AC -&gt; AC</t>
  </si>
  <si>
    <t>043</t>
  </si>
  <si>
    <t>05D: X5 - ((X3 - (X1 | X2)) &amp; X4)</t>
  </si>
  <si>
    <t>(033) &amp; AC -&gt; AC</t>
  </si>
  <si>
    <t>044</t>
  </si>
  <si>
    <t>045</t>
  </si>
  <si>
    <t>3033</t>
  </si>
  <si>
    <t>OR (033)</t>
  </si>
  <si>
    <t>(033) | AC → AC</t>
  </si>
  <si>
    <t>AC: X6 | 0 = X6</t>
  </si>
  <si>
    <t>046</t>
  </si>
  <si>
    <t>AC: (X5 - ((X3 - (X1 | X2)) &amp; X4)) &amp; X6</t>
  </si>
  <si>
    <t>047</t>
  </si>
  <si>
    <t>05D: (X5 - ((X3 - (X1 | X2)) &amp; X4)) &amp; X6</t>
  </si>
  <si>
    <t>(030) + AC -&gt; AC</t>
  </si>
  <si>
    <t>048</t>
  </si>
  <si>
    <t>A030</t>
  </si>
  <si>
    <t>LD (030)</t>
  </si>
  <si>
    <t>(030) → AC</t>
  </si>
  <si>
    <t>AC: X7</t>
  </si>
  <si>
    <t>049</t>
  </si>
  <si>
    <t>405D</t>
  </si>
  <si>
    <t>ADD (05D)</t>
  </si>
  <si>
    <t>(05D) + AC → AC</t>
  </si>
  <si>
    <t>AC: ((X5 - ((X3 - (X1 | X2)) &amp; X4)) &amp; X6) + X7</t>
  </si>
  <si>
    <t>04A</t>
  </si>
  <si>
    <t>05D: ((X5 - ((X3 - (X1 | X2)) &amp; X4)) &amp; X6) + X7</t>
  </si>
  <si>
    <t>04B</t>
  </si>
  <si>
    <t>AC -&gt; (05D)</t>
  </si>
  <si>
    <t>04C</t>
  </si>
  <si>
    <t>0280</t>
  </si>
  <si>
    <t>NOT</t>
  </si>
  <si>
    <t>^AC → AC</t>
  </si>
  <si>
    <t>AC: 1</t>
  </si>
  <si>
    <t>0 -&gt; AC</t>
  </si>
  <si>
    <t>04D</t>
  </si>
  <si>
    <t>2036</t>
  </si>
  <si>
    <t>OR (036)</t>
  </si>
  <si>
    <t>(036) | AC → AC</t>
  </si>
  <si>
    <t>AC: X8 | 1</t>
  </si>
  <si>
    <t>^AC -&gt; AC</t>
  </si>
  <si>
    <t>04E</t>
  </si>
  <si>
    <t>AC: (((X5 - ((X3 - (X1 | X2)) &amp; X4)) &amp; X6)
+ X7) &amp; (X8 | 1)</t>
  </si>
  <si>
    <t>(05D) &amp; AC -&gt; AC</t>
  </si>
  <si>
    <t>04F</t>
  </si>
  <si>
    <t>05D: (((X5 - ((X3 - (X1 | X2)) &amp; X4)) &amp; X6)
+ X7) &amp; (X8 | 1)</t>
  </si>
  <si>
    <t>050</t>
  </si>
  <si>
    <t>051</t>
  </si>
  <si>
    <t>405A</t>
  </si>
  <si>
    <t>ADD (05A)</t>
  </si>
  <si>
    <t>(05A) + AC → AC</t>
  </si>
  <si>
    <t>AC: X9</t>
  </si>
  <si>
    <t>052</t>
  </si>
  <si>
    <t>AC: X9 — (05D)</t>
  </si>
  <si>
    <t>(05A) + AC -&gt; AC</t>
  </si>
  <si>
    <t>053</t>
  </si>
  <si>
    <t>05D: X9 - ((((X5 - ((X3 - (X1 | X2)) &amp; X4))
&amp; X6) + X7) &amp; (X8 | 1))</t>
  </si>
  <si>
    <t>054</t>
  </si>
  <si>
    <t>055</t>
  </si>
  <si>
    <t>3035</t>
  </si>
  <si>
    <t>OR (035)</t>
  </si>
  <si>
    <t>(035) | AC → AC</t>
  </si>
  <si>
    <t>AC: Y | 0 = Y</t>
  </si>
  <si>
    <t>056</t>
  </si>
  <si>
    <t>AC: (X9 - ((((X5 - ((X3 - (X1 | X2)) &amp; X4))
&amp; X6) + X7) &amp; (X8 | 1))) &amp; Y</t>
  </si>
  <si>
    <t>057</t>
  </si>
  <si>
    <t>E05C</t>
  </si>
  <si>
    <t>ST (05C)</t>
  </si>
  <si>
    <t>AC → (05C)</t>
  </si>
  <si>
    <t>05C: (X9 - ((((X5 - ((X3 - (X1 | X2)) &amp; X4))
&amp; X6) + X7) &amp; (X8 | 1))) &amp; Y</t>
  </si>
  <si>
    <t>AC -&gt; (05C)</t>
  </si>
  <si>
    <t>058</t>
  </si>
  <si>
    <t>0100</t>
  </si>
  <si>
    <t>HLT</t>
  </si>
  <si>
    <t>ОСТАНОВКА</t>
  </si>
  <si>
    <t>- Finsh -</t>
  </si>
  <si>
    <t>059</t>
  </si>
  <si>
    <t>Переменная X5</t>
  </si>
  <si>
    <t>05A</t>
  </si>
  <si>
    <t>Переменная X9</t>
  </si>
  <si>
    <t>05B</t>
  </si>
  <si>
    <t>Переменная X2</t>
  </si>
  <si>
    <t>05C</t>
  </si>
  <si>
    <t>Результат</t>
  </si>
  <si>
    <t>05D</t>
  </si>
  <si>
    <t>Промежуточное значение</t>
  </si>
  <si>
    <t>DCD8</t>
  </si>
  <si>
    <t>x7 = -9000</t>
  </si>
  <si>
    <t>1F4A</t>
  </si>
  <si>
    <t>x4 = 8100</t>
  </si>
  <si>
    <t>1000</t>
  </si>
  <si>
    <t>x1 = 4095</t>
  </si>
  <si>
    <t>3FFF</t>
  </si>
  <si>
    <t>x6 = 16383</t>
  </si>
  <si>
    <t>x3 = 4095</t>
  </si>
  <si>
    <t>0009</t>
  </si>
  <si>
    <t>y = 9</t>
  </si>
  <si>
    <t>FFDC</t>
  </si>
  <si>
    <t>x8 = 65000</t>
  </si>
  <si>
    <t>Код</t>
  </si>
  <si>
    <t>IP</t>
  </si>
  <si>
    <t>CR</t>
  </si>
  <si>
    <t>AR</t>
  </si>
  <si>
    <t>DR</t>
  </si>
  <si>
    <t>BR</t>
  </si>
  <si>
    <t>AC</t>
  </si>
  <si>
    <t>NZVC</t>
  </si>
  <si>
    <t>Новый код</t>
  </si>
  <si>
    <t>0000</t>
  </si>
  <si>
    <t>x5 = -8100</t>
  </si>
  <si>
    <t>7FFD</t>
  </si>
  <si>
    <t>x9 = 32765</t>
  </si>
  <si>
    <t xml:space="preserve">x2 = 0 </t>
  </si>
  <si>
    <t>*</t>
  </si>
  <si>
    <t>205C</t>
  </si>
  <si>
    <t>FD34</t>
  </si>
  <si>
    <t>0001</t>
  </si>
  <si>
    <t>FFDD</t>
  </si>
  <si>
    <t>FD14</t>
  </si>
  <si>
    <t>82E9</t>
  </si>
  <si>
    <t>100</t>
  </si>
  <si>
    <t>0111</t>
  </si>
  <si>
    <t>C000</t>
  </si>
  <si>
    <t>0022</t>
  </si>
  <si>
    <t>FFF6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</si>
</sst>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Liberation Sans"/>
      <family val="2"/>
      <charset val="204"/>
    </font>
    <font>
      <sz val="10"/>
      <color rgb="FF000000"/>
      <name val="Liberation Sans"/>
      <family val="2"/>
      <charset val="204"/>
    </font>
    <font>
      <b/>
      <sz val="10"/>
      <color rgb="FF000000"/>
      <name val="Liberation Sans"/>
      <family val="2"/>
      <charset val="204"/>
    </font>
    <font>
      <b/>
      <sz val="10"/>
      <color rgb="FFFFFFFF"/>
      <name val="Liberation Sans"/>
      <family val="2"/>
      <charset val="204"/>
    </font>
    <font>
      <sz val="10"/>
      <color rgb="FFCC0000"/>
      <name val="Liberation Sans"/>
      <family val="2"/>
      <charset val="204"/>
    </font>
    <font>
      <sz val="11"/>
      <color rgb="FF000000"/>
      <name val="Aptos Narrow"/>
      <family val="2"/>
    </font>
    <font>
      <i/>
      <sz val="10"/>
      <color rgb="FF808080"/>
      <name val="Liberation Sans"/>
      <family val="2"/>
      <charset val="204"/>
    </font>
    <font>
      <sz val="10"/>
      <color rgb="FF006600"/>
      <name val="Liberation Sans"/>
      <family val="2"/>
      <charset val="204"/>
    </font>
    <font>
      <b/>
      <sz val="24"/>
      <color rgb="FF000000"/>
      <name val="Liberation Sans"/>
      <family val="2"/>
      <charset val="204"/>
    </font>
    <font>
      <b/>
      <sz val="18"/>
      <color rgb="FF000000"/>
      <name val="Liberation Sans"/>
      <family val="2"/>
      <charset val="204"/>
    </font>
    <font>
      <b/>
      <sz val="12"/>
      <color rgb="FF000000"/>
      <name val="Liberation Sans"/>
      <family val="2"/>
      <charset val="204"/>
    </font>
    <font>
      <u/>
      <sz val="10"/>
      <color rgb="FF0000EE"/>
      <name val="Liberation Sans"/>
      <family val="2"/>
      <charset val="204"/>
    </font>
    <font>
      <sz val="10"/>
      <color rgb="FF996600"/>
      <name val="Liberation Sans"/>
      <family val="2"/>
      <charset val="204"/>
    </font>
    <font>
      <sz val="10"/>
      <color rgb="FF333333"/>
      <name val="Liberation Sans"/>
      <family val="2"/>
      <charset val="204"/>
    </font>
    <font>
      <b/>
      <i/>
      <u/>
      <sz val="10"/>
      <color rgb="FF000000"/>
      <name val="Liberation Sans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DE8CB"/>
        <bgColor rgb="FFDDE8CB"/>
      </patternFill>
    </fill>
    <fill>
      <patternFill patternType="solid">
        <fgColor rgb="FFFFFFA6"/>
        <bgColor rgb="FFFFFFA6"/>
      </patternFill>
    </fill>
    <fill>
      <patternFill patternType="solid">
        <fgColor rgb="FFB4C7DC"/>
        <bgColor rgb="FFB4C7DC"/>
      </patternFill>
    </fill>
    <fill>
      <patternFill patternType="solid">
        <fgColor rgb="FFA1467E"/>
        <bgColor rgb="FFA1467E"/>
      </patternFill>
    </fill>
    <fill>
      <patternFill patternType="solid">
        <fgColor rgb="FFFFA6A6"/>
        <bgColor rgb="FFFFA6A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8C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A6"/>
      </patternFill>
    </fill>
    <fill>
      <patternFill patternType="solid">
        <fgColor theme="0"/>
        <bgColor rgb="FFB4C7DC"/>
      </patternFill>
    </fill>
    <fill>
      <patternFill patternType="solid">
        <fgColor theme="0"/>
        <bgColor rgb="FFA1467E"/>
      </patternFill>
    </fill>
    <fill>
      <patternFill patternType="solid">
        <fgColor theme="0"/>
        <bgColor rgb="FFFFA6A6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7" fillId="7" borderId="0" applyNumberFormat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49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0" borderId="2" xfId="0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 vertical="center"/>
    </xf>
    <xf numFmtId="49" fontId="0" fillId="14" borderId="0" xfId="0" applyNumberFormat="1" applyFill="1" applyAlignment="1">
      <alignment horizontal="center" vertical="center"/>
    </xf>
    <xf numFmtId="49" fontId="0" fillId="15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49" fontId="0" fillId="16" borderId="0" xfId="0" applyNumberFormat="1" applyFill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0">
    <cellStyle name="Accent" xfId="1" xr:uid="{D5CFF280-5CA1-4CF7-A102-BAC963435C42}"/>
    <cellStyle name="Accent 1" xfId="2" xr:uid="{A2AFEC54-A426-485A-A098-FB770ECD36A7}"/>
    <cellStyle name="Accent 2" xfId="3" xr:uid="{C86D7093-B935-459E-B789-A0D9BA50D99B}"/>
    <cellStyle name="Accent 3" xfId="4" xr:uid="{63F3C39C-160A-4AE4-B72C-836F6A15A747}"/>
    <cellStyle name="Bad" xfId="5" xr:uid="{3296DFA9-ED3D-48D6-87E0-4BC54135672E}"/>
    <cellStyle name="Default" xfId="6" xr:uid="{B7270932-30BB-4BE5-B005-F633E0A24928}"/>
    <cellStyle name="Error" xfId="7" xr:uid="{06144313-98E8-484F-A40F-C7415171192E}"/>
    <cellStyle name="Footnote" xfId="8" xr:uid="{04F98D66-A08B-4A23-BC2A-47AD1B580C68}"/>
    <cellStyle name="Good" xfId="9" xr:uid="{83CC03E2-C7A9-48CC-A720-204023CD1706}"/>
    <cellStyle name="Heading" xfId="10" xr:uid="{FA3EF1F9-73B0-434D-9B97-6966913B85E1}"/>
    <cellStyle name="Heading 1" xfId="11" xr:uid="{21ECB050-F9D4-4AB8-A41E-32403358DEA1}"/>
    <cellStyle name="Heading 2" xfId="12" xr:uid="{C89A4501-2947-476F-8C33-4A2E6B269612}"/>
    <cellStyle name="Hyperlink" xfId="13" xr:uid="{463406F6-00A9-47D5-96E0-4BF776BB1A53}"/>
    <cellStyle name="Neutral" xfId="14" xr:uid="{23A8F251-460E-4DF1-BEE1-7690157D20D7}"/>
    <cellStyle name="Note" xfId="15" xr:uid="{44B32A16-C301-46F2-B7AF-5B546EE1EECE}"/>
    <cellStyle name="Result" xfId="16" xr:uid="{77500233-9997-4F53-9F6C-FCA734074924}"/>
    <cellStyle name="Status" xfId="17" xr:uid="{917CA5C0-082D-4613-84FB-54CDD777A528}"/>
    <cellStyle name="Text" xfId="18" xr:uid="{5FEC2AFE-3C30-4D12-8E8B-EDAC44358C49}"/>
    <cellStyle name="Warning" xfId="19" xr:uid="{5866B545-E147-4090-9E2E-0A5CFE138474}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50B1A-ADCB-4BB5-96D0-A1F25AD03C6E}" name="__Anonymous_Sheet_DB__0" displayName="__Anonymous_Sheet_DB__0" ref="D6:F13" headerRowCount="0" totalsRowShown="0">
  <tableColumns count="3">
    <tableColumn id="1" xr3:uid="{DB5A109E-B02B-47DF-9A47-39084675445B}" name="Столбец1"/>
    <tableColumn id="2" xr3:uid="{614540D2-6AB5-46FA-84FA-9C710D411D9E}" name="Столбец2"/>
    <tableColumn id="3" xr3:uid="{AAA8D018-022E-48E9-9D6F-02B8381F70C5}" name="Столбец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F1C4E8-72C9-4228-94F4-F356070DC736}" name="__Anonymous_Sheet_DB__03" displayName="__Anonymous_Sheet_DB__03" ref="O6:Q14" headerRowCount="0" totalsRowShown="0">
  <tableColumns count="3">
    <tableColumn id="1" xr3:uid="{E3D1B8A0-70D1-41AB-90B6-9ADBEF576F06}" name="Столбец1"/>
    <tableColumn id="2" xr3:uid="{9C79A40C-5C04-4633-A05A-00CD208B83E9}" name="Столбец2"/>
    <tableColumn id="3" xr3:uid="{D1B65202-7591-4E99-95A2-605F72FE8148}" name="Столбец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749A-71C9-4D58-B0CA-E1B66FA2EB85}">
  <dimension ref="A1:G47"/>
  <sheetViews>
    <sheetView tabSelected="1" workbookViewId="0">
      <selection activeCell="J24" sqref="J24"/>
    </sheetView>
  </sheetViews>
  <sheetFormatPr defaultColWidth="11.6328125" defaultRowHeight="12.5" x14ac:dyDescent="0.25"/>
  <cols>
    <col min="1" max="1" width="6.6328125" style="3" customWidth="1"/>
    <col min="2" max="2" width="9.453125" style="3" customWidth="1"/>
    <col min="3" max="3" width="11.08984375" style="1" customWidth="1"/>
    <col min="4" max="4" width="23.36328125" style="1" customWidth="1"/>
    <col min="5" max="5" width="38.36328125" style="2" customWidth="1"/>
    <col min="6" max="6" width="11.6328125" customWidth="1"/>
    <col min="7" max="7" width="18.7265625" style="1" customWidth="1"/>
    <col min="8" max="8" width="11.6328125" customWidth="1"/>
  </cols>
  <sheetData>
    <row r="1" spans="1:7" s="2" customFormat="1" ht="2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G1" s="1"/>
    </row>
    <row r="2" spans="1:7" x14ac:dyDescent="0.25">
      <c r="A2" s="3" t="s">
        <v>4</v>
      </c>
      <c r="B2" s="3" t="s">
        <v>5</v>
      </c>
      <c r="C2" s="1" t="s">
        <v>6</v>
      </c>
      <c r="D2" s="1" t="s">
        <v>7</v>
      </c>
      <c r="E2" s="16" t="s">
        <v>161</v>
      </c>
    </row>
    <row r="3" spans="1:7" x14ac:dyDescent="0.25">
      <c r="A3" s="3" t="s">
        <v>8</v>
      </c>
      <c r="B3" s="3" t="s">
        <v>9</v>
      </c>
      <c r="C3" s="1" t="s">
        <v>6</v>
      </c>
      <c r="D3" s="1" t="s">
        <v>10</v>
      </c>
      <c r="E3" s="16" t="s">
        <v>163</v>
      </c>
    </row>
    <row r="4" spans="1:7" x14ac:dyDescent="0.25">
      <c r="A4" s="3" t="s">
        <v>11</v>
      </c>
      <c r="B4" s="3" t="s">
        <v>5</v>
      </c>
      <c r="C4" s="1" t="s">
        <v>6</v>
      </c>
      <c r="D4" s="1" t="s">
        <v>12</v>
      </c>
      <c r="E4" s="16" t="s">
        <v>165</v>
      </c>
    </row>
    <row r="5" spans="1:7" x14ac:dyDescent="0.25">
      <c r="A5" s="3" t="s">
        <v>13</v>
      </c>
      <c r="B5" s="3" t="s">
        <v>14</v>
      </c>
      <c r="C5" s="1" t="s">
        <v>6</v>
      </c>
      <c r="D5" s="1" t="s">
        <v>15</v>
      </c>
      <c r="E5" s="16" t="s">
        <v>167</v>
      </c>
    </row>
    <row r="6" spans="1:7" x14ac:dyDescent="0.25">
      <c r="A6" s="3" t="s">
        <v>16</v>
      </c>
      <c r="B6" s="3" t="s">
        <v>17</v>
      </c>
      <c r="C6" s="1" t="s">
        <v>6</v>
      </c>
      <c r="D6" s="1" t="s">
        <v>18</v>
      </c>
      <c r="E6" s="16" t="s">
        <v>168</v>
      </c>
    </row>
    <row r="7" spans="1:7" x14ac:dyDescent="0.25">
      <c r="A7" s="3" t="s">
        <v>19</v>
      </c>
      <c r="B7" s="3" t="s">
        <v>20</v>
      </c>
      <c r="C7" s="1" t="s">
        <v>6</v>
      </c>
      <c r="D7" s="1" t="s">
        <v>21</v>
      </c>
      <c r="E7" s="16" t="s">
        <v>170</v>
      </c>
    </row>
    <row r="8" spans="1:7" x14ac:dyDescent="0.25">
      <c r="A8" s="3" t="s">
        <v>22</v>
      </c>
      <c r="B8" s="3" t="s">
        <v>14</v>
      </c>
      <c r="C8" s="1" t="s">
        <v>6</v>
      </c>
      <c r="D8" s="1" t="s">
        <v>23</v>
      </c>
      <c r="E8" s="16" t="s">
        <v>172</v>
      </c>
    </row>
    <row r="9" spans="1:7" x14ac:dyDescent="0.25">
      <c r="A9" s="4" t="s">
        <v>24</v>
      </c>
      <c r="B9" s="4" t="s">
        <v>25</v>
      </c>
      <c r="C9" s="5" t="s">
        <v>26</v>
      </c>
      <c r="D9" s="5" t="s">
        <v>27</v>
      </c>
      <c r="E9" s="6" t="s">
        <v>28</v>
      </c>
      <c r="G9" s="5" t="s">
        <v>27</v>
      </c>
    </row>
    <row r="10" spans="1:7" x14ac:dyDescent="0.25">
      <c r="A10" s="3" t="s">
        <v>29</v>
      </c>
      <c r="B10" s="3" t="s">
        <v>30</v>
      </c>
      <c r="C10" s="1" t="s">
        <v>31</v>
      </c>
      <c r="D10" s="1" t="s">
        <v>32</v>
      </c>
      <c r="E10" s="2" t="s">
        <v>33</v>
      </c>
      <c r="G10" s="1" t="s">
        <v>32</v>
      </c>
    </row>
    <row r="11" spans="1:7" x14ac:dyDescent="0.25">
      <c r="A11" s="3" t="s">
        <v>34</v>
      </c>
      <c r="B11" s="3" t="s">
        <v>20</v>
      </c>
      <c r="C11" s="1" t="s">
        <v>35</v>
      </c>
      <c r="D11" s="7" t="s">
        <v>36</v>
      </c>
      <c r="E11" s="8" t="s">
        <v>37</v>
      </c>
      <c r="G11" s="34" t="s">
        <v>38</v>
      </c>
    </row>
    <row r="12" spans="1:7" x14ac:dyDescent="0.25">
      <c r="A12" s="3" t="s">
        <v>39</v>
      </c>
      <c r="B12" s="3" t="s">
        <v>14</v>
      </c>
      <c r="C12" s="1" t="s">
        <v>40</v>
      </c>
      <c r="D12" s="9" t="s">
        <v>41</v>
      </c>
      <c r="E12" s="10" t="s">
        <v>42</v>
      </c>
      <c r="G12" s="34"/>
    </row>
    <row r="13" spans="1:7" x14ac:dyDescent="0.25">
      <c r="A13" s="3" t="s">
        <v>43</v>
      </c>
      <c r="B13" s="3" t="s">
        <v>44</v>
      </c>
      <c r="C13" s="1" t="s">
        <v>45</v>
      </c>
      <c r="D13" s="1" t="s">
        <v>46</v>
      </c>
      <c r="E13" s="2" t="s">
        <v>47</v>
      </c>
      <c r="G13" s="34"/>
    </row>
    <row r="14" spans="1:7" x14ac:dyDescent="0.25">
      <c r="A14" s="3" t="s">
        <v>48</v>
      </c>
      <c r="B14" s="3" t="s">
        <v>49</v>
      </c>
      <c r="C14" s="1" t="s">
        <v>50</v>
      </c>
      <c r="D14" s="1" t="s">
        <v>51</v>
      </c>
      <c r="E14" s="2" t="s">
        <v>52</v>
      </c>
      <c r="G14" s="1" t="s">
        <v>53</v>
      </c>
    </row>
    <row r="15" spans="1:7" x14ac:dyDescent="0.25">
      <c r="A15" s="3" t="s">
        <v>54</v>
      </c>
      <c r="B15" s="3" t="s">
        <v>20</v>
      </c>
      <c r="C15" s="1" t="s">
        <v>55</v>
      </c>
      <c r="D15" s="1" t="s">
        <v>36</v>
      </c>
      <c r="E15" s="2" t="s">
        <v>56</v>
      </c>
      <c r="G15" s="34" t="s">
        <v>57</v>
      </c>
    </row>
    <row r="16" spans="1:7" x14ac:dyDescent="0.25">
      <c r="A16" s="3" t="s">
        <v>58</v>
      </c>
      <c r="B16" s="3" t="s">
        <v>17</v>
      </c>
      <c r="C16" s="1" t="s">
        <v>59</v>
      </c>
      <c r="D16" s="1" t="s">
        <v>60</v>
      </c>
      <c r="E16" s="2" t="s">
        <v>61</v>
      </c>
      <c r="G16" s="34"/>
    </row>
    <row r="17" spans="1:7" x14ac:dyDescent="0.25">
      <c r="A17" s="3" t="s">
        <v>62</v>
      </c>
      <c r="B17" s="3" t="s">
        <v>5</v>
      </c>
      <c r="C17" s="1" t="s">
        <v>63</v>
      </c>
      <c r="D17" s="1" t="s">
        <v>64</v>
      </c>
      <c r="E17" s="2" t="s">
        <v>65</v>
      </c>
      <c r="G17" s="34"/>
    </row>
    <row r="18" spans="1:7" x14ac:dyDescent="0.25">
      <c r="A18" s="3" t="s">
        <v>66</v>
      </c>
      <c r="B18" s="3" t="s">
        <v>20</v>
      </c>
      <c r="C18" s="1" t="s">
        <v>55</v>
      </c>
      <c r="D18" s="1" t="s">
        <v>36</v>
      </c>
      <c r="E18" s="2" t="s">
        <v>67</v>
      </c>
      <c r="G18" s="34" t="s">
        <v>38</v>
      </c>
    </row>
    <row r="19" spans="1:7" x14ac:dyDescent="0.25">
      <c r="A19" s="3" t="s">
        <v>68</v>
      </c>
      <c r="B19" s="3" t="s">
        <v>9</v>
      </c>
      <c r="C19" s="1" t="s">
        <v>69</v>
      </c>
      <c r="D19" s="1" t="s">
        <v>70</v>
      </c>
      <c r="E19" s="2" t="s">
        <v>71</v>
      </c>
      <c r="G19" s="34"/>
    </row>
    <row r="20" spans="1:7" x14ac:dyDescent="0.25">
      <c r="A20" s="3" t="s">
        <v>72</v>
      </c>
      <c r="B20" s="3" t="s">
        <v>49</v>
      </c>
      <c r="C20" s="1" t="s">
        <v>50</v>
      </c>
      <c r="D20" s="1" t="s">
        <v>51</v>
      </c>
      <c r="E20" s="2" t="s">
        <v>73</v>
      </c>
      <c r="G20" s="1" t="s">
        <v>74</v>
      </c>
    </row>
    <row r="21" spans="1:7" x14ac:dyDescent="0.25">
      <c r="A21" s="3" t="s">
        <v>75</v>
      </c>
      <c r="B21" s="3" t="s">
        <v>20</v>
      </c>
      <c r="C21" s="1" t="s">
        <v>55</v>
      </c>
      <c r="D21" s="7" t="s">
        <v>36</v>
      </c>
      <c r="E21" s="8" t="s">
        <v>76</v>
      </c>
      <c r="G21" s="34" t="s">
        <v>77</v>
      </c>
    </row>
    <row r="22" spans="1:7" x14ac:dyDescent="0.25">
      <c r="A22" s="3" t="s">
        <v>78</v>
      </c>
      <c r="B22" s="3" t="s">
        <v>14</v>
      </c>
      <c r="C22" s="1" t="s">
        <v>40</v>
      </c>
      <c r="D22" s="9" t="s">
        <v>41</v>
      </c>
      <c r="E22" s="10" t="s">
        <v>42</v>
      </c>
      <c r="G22" s="34"/>
    </row>
    <row r="23" spans="1:7" x14ac:dyDescent="0.25">
      <c r="A23" s="3" t="s">
        <v>79</v>
      </c>
      <c r="B23" s="3" t="s">
        <v>80</v>
      </c>
      <c r="C23" s="1" t="s">
        <v>81</v>
      </c>
      <c r="D23" s="1" t="s">
        <v>82</v>
      </c>
      <c r="E23" s="2" t="s">
        <v>83</v>
      </c>
      <c r="G23" s="34"/>
    </row>
    <row r="24" spans="1:7" x14ac:dyDescent="0.25">
      <c r="A24" s="3" t="s">
        <v>84</v>
      </c>
      <c r="B24" s="3" t="s">
        <v>5</v>
      </c>
      <c r="C24" s="1" t="s">
        <v>63</v>
      </c>
      <c r="D24" s="1" t="s">
        <v>64</v>
      </c>
      <c r="E24" s="2" t="s">
        <v>85</v>
      </c>
      <c r="G24" s="34"/>
    </row>
    <row r="25" spans="1:7" x14ac:dyDescent="0.25">
      <c r="A25" s="3" t="s">
        <v>86</v>
      </c>
      <c r="B25" s="3" t="s">
        <v>20</v>
      </c>
      <c r="C25" s="1" t="s">
        <v>55</v>
      </c>
      <c r="D25" s="1" t="s">
        <v>36</v>
      </c>
      <c r="E25" s="2" t="s">
        <v>87</v>
      </c>
      <c r="G25" s="34" t="s">
        <v>88</v>
      </c>
    </row>
    <row r="26" spans="1:7" x14ac:dyDescent="0.25">
      <c r="A26" s="3" t="s">
        <v>89</v>
      </c>
      <c r="B26" s="3" t="s">
        <v>90</v>
      </c>
      <c r="C26" s="1" t="s">
        <v>91</v>
      </c>
      <c r="D26" s="1" t="s">
        <v>92</v>
      </c>
      <c r="E26" s="2" t="s">
        <v>93</v>
      </c>
      <c r="G26" s="34"/>
    </row>
    <row r="27" spans="1:7" x14ac:dyDescent="0.25">
      <c r="A27" s="3" t="s">
        <v>94</v>
      </c>
      <c r="B27" s="3" t="s">
        <v>95</v>
      </c>
      <c r="C27" s="1" t="s">
        <v>96</v>
      </c>
      <c r="D27" s="1" t="s">
        <v>97</v>
      </c>
      <c r="E27" s="2" t="s">
        <v>98</v>
      </c>
      <c r="G27" s="34"/>
    </row>
    <row r="28" spans="1:7" x14ac:dyDescent="0.25">
      <c r="A28" s="3" t="s">
        <v>99</v>
      </c>
      <c r="B28" s="3" t="s">
        <v>20</v>
      </c>
      <c r="C28" s="1" t="s">
        <v>55</v>
      </c>
      <c r="D28" s="7" t="s">
        <v>36</v>
      </c>
      <c r="E28" s="8" t="s">
        <v>100</v>
      </c>
      <c r="G28" s="34"/>
    </row>
    <row r="29" spans="1:7" x14ac:dyDescent="0.25">
      <c r="A29" s="3" t="s">
        <v>101</v>
      </c>
      <c r="B29" s="3" t="s">
        <v>14</v>
      </c>
      <c r="C29" s="1" t="s">
        <v>40</v>
      </c>
      <c r="D29" s="9" t="s">
        <v>41</v>
      </c>
      <c r="E29" s="10" t="s">
        <v>42</v>
      </c>
      <c r="G29" s="1" t="s">
        <v>102</v>
      </c>
    </row>
    <row r="30" spans="1:7" x14ac:dyDescent="0.25">
      <c r="A30" s="3" t="s">
        <v>103</v>
      </c>
      <c r="B30" s="3" t="s">
        <v>104</v>
      </c>
      <c r="C30" s="1" t="s">
        <v>105</v>
      </c>
      <c r="D30" s="1" t="s">
        <v>106</v>
      </c>
      <c r="E30" s="2" t="s">
        <v>107</v>
      </c>
      <c r="G30" s="1" t="s">
        <v>108</v>
      </c>
    </row>
    <row r="31" spans="1:7" x14ac:dyDescent="0.25">
      <c r="A31" s="3" t="s">
        <v>109</v>
      </c>
      <c r="B31" s="3" t="s">
        <v>110</v>
      </c>
      <c r="C31" s="1" t="s">
        <v>111</v>
      </c>
      <c r="D31" s="1" t="s">
        <v>112</v>
      </c>
      <c r="E31" s="2" t="s">
        <v>113</v>
      </c>
      <c r="G31" s="1" t="s">
        <v>114</v>
      </c>
    </row>
    <row r="32" spans="1:7" x14ac:dyDescent="0.25">
      <c r="A32" s="3" t="s">
        <v>115</v>
      </c>
      <c r="B32" s="3" t="s">
        <v>5</v>
      </c>
      <c r="C32" s="1" t="s">
        <v>63</v>
      </c>
      <c r="D32" s="1" t="s">
        <v>64</v>
      </c>
      <c r="E32" s="2" t="s">
        <v>116</v>
      </c>
      <c r="G32" s="1" t="s">
        <v>117</v>
      </c>
    </row>
    <row r="33" spans="1:7" x14ac:dyDescent="0.25">
      <c r="A33" s="3" t="s">
        <v>118</v>
      </c>
      <c r="B33" s="3" t="s">
        <v>20</v>
      </c>
      <c r="C33" s="1" t="s">
        <v>55</v>
      </c>
      <c r="D33" s="7" t="s">
        <v>36</v>
      </c>
      <c r="E33" s="8" t="s">
        <v>119</v>
      </c>
      <c r="G33" s="34" t="s">
        <v>38</v>
      </c>
    </row>
    <row r="34" spans="1:7" x14ac:dyDescent="0.25">
      <c r="A34" s="3" t="s">
        <v>120</v>
      </c>
      <c r="B34" s="3" t="s">
        <v>14</v>
      </c>
      <c r="C34" s="1" t="s">
        <v>40</v>
      </c>
      <c r="D34" s="9" t="s">
        <v>41</v>
      </c>
      <c r="E34" s="10" t="s">
        <v>42</v>
      </c>
      <c r="G34" s="34"/>
    </row>
    <row r="35" spans="1:7" x14ac:dyDescent="0.25">
      <c r="A35" s="3" t="s">
        <v>121</v>
      </c>
      <c r="B35" s="3" t="s">
        <v>122</v>
      </c>
      <c r="C35" s="1" t="s">
        <v>123</v>
      </c>
      <c r="D35" s="1" t="s">
        <v>124</v>
      </c>
      <c r="E35" s="2" t="s">
        <v>125</v>
      </c>
      <c r="G35" s="34"/>
    </row>
    <row r="36" spans="1:7" x14ac:dyDescent="0.25">
      <c r="A36" s="3" t="s">
        <v>126</v>
      </c>
      <c r="B36" s="3" t="s">
        <v>49</v>
      </c>
      <c r="C36" s="1" t="s">
        <v>50</v>
      </c>
      <c r="D36" s="1" t="s">
        <v>51</v>
      </c>
      <c r="E36" s="2" t="s">
        <v>127</v>
      </c>
      <c r="G36" s="1" t="s">
        <v>128</v>
      </c>
    </row>
    <row r="37" spans="1:7" x14ac:dyDescent="0.25">
      <c r="A37" s="3" t="s">
        <v>129</v>
      </c>
      <c r="B37" s="3" t="s">
        <v>20</v>
      </c>
      <c r="C37" s="1" t="s">
        <v>55</v>
      </c>
      <c r="D37" s="7" t="s">
        <v>36</v>
      </c>
      <c r="E37" s="8" t="s">
        <v>130</v>
      </c>
      <c r="G37" s="34" t="s">
        <v>117</v>
      </c>
    </row>
    <row r="38" spans="1:7" x14ac:dyDescent="0.25">
      <c r="A38" s="3" t="s">
        <v>131</v>
      </c>
      <c r="B38" s="3" t="s">
        <v>14</v>
      </c>
      <c r="C38" s="1" t="s">
        <v>40</v>
      </c>
      <c r="D38" s="9" t="s">
        <v>41</v>
      </c>
      <c r="E38" s="10" t="s">
        <v>42</v>
      </c>
      <c r="G38" s="34"/>
    </row>
    <row r="39" spans="1:7" x14ac:dyDescent="0.25">
      <c r="A39" s="3" t="s">
        <v>132</v>
      </c>
      <c r="B39" s="3" t="s">
        <v>133</v>
      </c>
      <c r="C39" s="1" t="s">
        <v>134</v>
      </c>
      <c r="D39" s="1" t="s">
        <v>135</v>
      </c>
      <c r="E39" s="2" t="s">
        <v>136</v>
      </c>
      <c r="G39" s="34"/>
    </row>
    <row r="40" spans="1:7" x14ac:dyDescent="0.25">
      <c r="A40" s="3" t="s">
        <v>137</v>
      </c>
      <c r="B40" s="3" t="s">
        <v>5</v>
      </c>
      <c r="C40" s="1" t="s">
        <v>63</v>
      </c>
      <c r="D40" s="1" t="s">
        <v>64</v>
      </c>
      <c r="E40" s="2" t="s">
        <v>138</v>
      </c>
      <c r="G40" s="34"/>
    </row>
    <row r="41" spans="1:7" x14ac:dyDescent="0.25">
      <c r="A41" s="3" t="s">
        <v>139</v>
      </c>
      <c r="B41" s="3" t="s">
        <v>140</v>
      </c>
      <c r="C41" s="1" t="s">
        <v>141</v>
      </c>
      <c r="D41" s="11" t="s">
        <v>142</v>
      </c>
      <c r="E41" s="12" t="s">
        <v>143</v>
      </c>
      <c r="G41" s="1" t="s">
        <v>144</v>
      </c>
    </row>
    <row r="42" spans="1:7" x14ac:dyDescent="0.25">
      <c r="A42" s="13" t="s">
        <v>145</v>
      </c>
      <c r="B42" s="13" t="s">
        <v>146</v>
      </c>
      <c r="C42" s="14" t="s">
        <v>147</v>
      </c>
      <c r="D42" s="14" t="s">
        <v>148</v>
      </c>
      <c r="E42" s="15" t="s">
        <v>149</v>
      </c>
      <c r="G42" s="15" t="s">
        <v>149</v>
      </c>
    </row>
    <row r="43" spans="1:7" x14ac:dyDescent="0.25">
      <c r="A43" s="3" t="s">
        <v>150</v>
      </c>
      <c r="B43" s="3" t="s">
        <v>140</v>
      </c>
      <c r="C43" s="1" t="s">
        <v>6</v>
      </c>
      <c r="D43" s="1" t="s">
        <v>151</v>
      </c>
    </row>
    <row r="44" spans="1:7" x14ac:dyDescent="0.25">
      <c r="A44" s="3" t="s">
        <v>152</v>
      </c>
      <c r="B44" s="3" t="s">
        <v>146</v>
      </c>
      <c r="C44" s="1" t="s">
        <v>6</v>
      </c>
      <c r="D44" s="1" t="s">
        <v>153</v>
      </c>
    </row>
    <row r="45" spans="1:7" x14ac:dyDescent="0.25">
      <c r="A45" s="3" t="s">
        <v>154</v>
      </c>
      <c r="B45" s="3" t="s">
        <v>14</v>
      </c>
      <c r="C45" s="1" t="s">
        <v>6</v>
      </c>
      <c r="D45" s="1" t="s">
        <v>155</v>
      </c>
    </row>
    <row r="46" spans="1:7" x14ac:dyDescent="0.25">
      <c r="A46" s="3" t="s">
        <v>156</v>
      </c>
      <c r="B46" s="3" t="s">
        <v>20</v>
      </c>
      <c r="C46" s="1" t="s">
        <v>6</v>
      </c>
      <c r="D46" s="11" t="s">
        <v>157</v>
      </c>
    </row>
    <row r="47" spans="1:7" x14ac:dyDescent="0.25">
      <c r="A47" s="3" t="s">
        <v>158</v>
      </c>
      <c r="B47" s="3" t="s">
        <v>49</v>
      </c>
      <c r="C47" s="1" t="s">
        <v>6</v>
      </c>
      <c r="D47" s="7" t="s">
        <v>159</v>
      </c>
    </row>
  </sheetData>
  <mergeCells count="7">
    <mergeCell ref="G37:G40"/>
    <mergeCell ref="G11:G13"/>
    <mergeCell ref="G15:G17"/>
    <mergeCell ref="G18:G19"/>
    <mergeCell ref="G21:G24"/>
    <mergeCell ref="G25:G28"/>
    <mergeCell ref="G33:G35"/>
  </mergeCells>
  <pageMargins left="0" right="0" top="0.39370078740157505" bottom="0.39370078740157505" header="0" footer="0"/>
  <pageSetup paperSize="0" fitToWidth="0" fitToHeight="0" orientation="portrait" horizontalDpi="0" verticalDpi="0" copies="0"/>
  <headerFooter>
    <oddHeader>&amp;C&amp;A</oddHeader>
    <oddFooter>&amp;CСтраница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CE97-6EDD-45C3-89E6-7622A1AF6FAD}">
  <dimension ref="A1:T51"/>
  <sheetViews>
    <sheetView zoomScaleNormal="100" workbookViewId="0">
      <selection activeCell="T10" sqref="T10:T43"/>
    </sheetView>
  </sheetViews>
  <sheetFormatPr defaultColWidth="11.6328125" defaultRowHeight="12.5" x14ac:dyDescent="0.25"/>
  <cols>
    <col min="1" max="1" width="6.6328125" style="3" customWidth="1"/>
    <col min="2" max="2" width="9.453125" style="3" customWidth="1"/>
    <col min="3" max="3" width="11.08984375" style="1" customWidth="1"/>
    <col min="4" max="10" width="6.08984375" style="2" customWidth="1"/>
    <col min="11" max="11" width="11.6328125" style="16" customWidth="1"/>
    <col min="12" max="12" width="11.6328125" style="2" customWidth="1"/>
    <col min="13" max="13" width="1.26953125" customWidth="1"/>
    <col min="14" max="14" width="2.54296875" customWidth="1"/>
    <col min="15" max="15" width="22.81640625" style="1" customWidth="1"/>
    <col min="16" max="16" width="8.984375E-2" style="2" hidden="1" customWidth="1"/>
    <col min="17" max="17" width="11.6328125" customWidth="1"/>
    <col min="20" max="20" width="30.7265625" customWidth="1"/>
  </cols>
  <sheetData>
    <row r="1" spans="1:20" s="2" customFormat="1" ht="24.5" customHeight="1" x14ac:dyDescent="0.25">
      <c r="A1" s="1" t="s">
        <v>0</v>
      </c>
      <c r="B1" s="1" t="s">
        <v>1</v>
      </c>
      <c r="C1" s="1" t="s">
        <v>2</v>
      </c>
      <c r="K1" s="16"/>
      <c r="O1" s="1" t="s">
        <v>3</v>
      </c>
    </row>
    <row r="2" spans="1:20" x14ac:dyDescent="0.25">
      <c r="A2" s="3" t="s">
        <v>4</v>
      </c>
      <c r="B2" s="3" t="s">
        <v>160</v>
      </c>
      <c r="C2" s="1" t="s">
        <v>6</v>
      </c>
      <c r="K2" s="16" t="s">
        <v>161</v>
      </c>
      <c r="O2" s="1" t="s">
        <v>7</v>
      </c>
    </row>
    <row r="3" spans="1:20" x14ac:dyDescent="0.25">
      <c r="A3" s="3" t="s">
        <v>8</v>
      </c>
      <c r="B3" s="3" t="s">
        <v>162</v>
      </c>
      <c r="C3" s="1" t="s">
        <v>6</v>
      </c>
      <c r="K3" s="16" t="s">
        <v>163</v>
      </c>
      <c r="O3" s="1" t="s">
        <v>10</v>
      </c>
    </row>
    <row r="4" spans="1:20" x14ac:dyDescent="0.25">
      <c r="A4" s="3" t="s">
        <v>11</v>
      </c>
      <c r="B4" s="3" t="s">
        <v>164</v>
      </c>
      <c r="C4" s="1" t="s">
        <v>6</v>
      </c>
      <c r="K4" s="16" t="s">
        <v>165</v>
      </c>
      <c r="O4" s="1" t="s">
        <v>12</v>
      </c>
    </row>
    <row r="5" spans="1:20" x14ac:dyDescent="0.25">
      <c r="A5" s="3" t="s">
        <v>13</v>
      </c>
      <c r="B5" s="3" t="s">
        <v>166</v>
      </c>
      <c r="C5" s="1" t="s">
        <v>6</v>
      </c>
      <c r="K5" s="16" t="s">
        <v>167</v>
      </c>
      <c r="O5" s="1" t="s">
        <v>15</v>
      </c>
    </row>
    <row r="6" spans="1:20" x14ac:dyDescent="0.25">
      <c r="A6" s="3" t="s">
        <v>16</v>
      </c>
      <c r="B6" s="3" t="s">
        <v>164</v>
      </c>
      <c r="C6" s="1" t="s">
        <v>6</v>
      </c>
      <c r="K6" s="16" t="s">
        <v>168</v>
      </c>
      <c r="O6" s="1" t="s">
        <v>18</v>
      </c>
    </row>
    <row r="7" spans="1:20" x14ac:dyDescent="0.25">
      <c r="A7" s="3" t="s">
        <v>19</v>
      </c>
      <c r="B7" s="3" t="s">
        <v>169</v>
      </c>
      <c r="C7" s="1" t="s">
        <v>6</v>
      </c>
      <c r="K7" s="16" t="s">
        <v>170</v>
      </c>
    </row>
    <row r="8" spans="1:20" x14ac:dyDescent="0.25">
      <c r="A8" s="3" t="s">
        <v>22</v>
      </c>
      <c r="B8" s="3" t="s">
        <v>171</v>
      </c>
      <c r="C8" s="1" t="s">
        <v>6</v>
      </c>
      <c r="K8" s="16" t="s">
        <v>172</v>
      </c>
      <c r="O8" s="1" t="s">
        <v>21</v>
      </c>
    </row>
    <row r="9" spans="1:20" x14ac:dyDescent="0.25">
      <c r="A9" s="17" t="s">
        <v>0</v>
      </c>
      <c r="B9" s="17" t="s">
        <v>173</v>
      </c>
      <c r="C9" s="18" t="s">
        <v>2</v>
      </c>
      <c r="D9" s="19" t="s">
        <v>174</v>
      </c>
      <c r="E9" s="19" t="s">
        <v>175</v>
      </c>
      <c r="F9" s="19" t="s">
        <v>176</v>
      </c>
      <c r="G9" s="19" t="s">
        <v>177</v>
      </c>
      <c r="H9" s="19" t="s">
        <v>178</v>
      </c>
      <c r="I9" s="19" t="s">
        <v>179</v>
      </c>
      <c r="J9" s="19" t="s">
        <v>180</v>
      </c>
      <c r="K9" s="20" t="s">
        <v>0</v>
      </c>
      <c r="L9" s="21" t="s">
        <v>181</v>
      </c>
    </row>
    <row r="10" spans="1:20" x14ac:dyDescent="0.25">
      <c r="A10" s="24" t="s">
        <v>24</v>
      </c>
      <c r="B10" s="24" t="s">
        <v>25</v>
      </c>
      <c r="C10" s="25" t="s">
        <v>26</v>
      </c>
      <c r="D10" s="23" t="s">
        <v>29</v>
      </c>
      <c r="E10" s="24" t="s">
        <v>25</v>
      </c>
      <c r="F10" s="26" t="s">
        <v>11</v>
      </c>
      <c r="G10" s="23" t="s">
        <v>164</v>
      </c>
      <c r="H10" s="24" t="s">
        <v>24</v>
      </c>
      <c r="I10" s="3" t="s">
        <v>164</v>
      </c>
      <c r="J10" s="3" t="s">
        <v>182</v>
      </c>
      <c r="O10" s="27" t="s">
        <v>27</v>
      </c>
      <c r="P10" s="6" t="s">
        <v>28</v>
      </c>
      <c r="R10" s="27" t="s">
        <v>27</v>
      </c>
      <c r="T10" s="2" t="str">
        <f>R10</f>
        <v>(032) → AC</v>
      </c>
    </row>
    <row r="11" spans="1:20" x14ac:dyDescent="0.25">
      <c r="A11" s="3" t="s">
        <v>29</v>
      </c>
      <c r="B11" s="3" t="s">
        <v>30</v>
      </c>
      <c r="C11" s="1" t="s">
        <v>31</v>
      </c>
      <c r="D11" s="3" t="s">
        <v>34</v>
      </c>
      <c r="E11" s="3" t="s">
        <v>30</v>
      </c>
      <c r="F11" s="3" t="s">
        <v>154</v>
      </c>
      <c r="G11" s="3" t="s">
        <v>182</v>
      </c>
      <c r="H11" s="3" t="s">
        <v>195</v>
      </c>
      <c r="I11" s="3" t="s">
        <v>164</v>
      </c>
      <c r="J11" s="3" t="s">
        <v>182</v>
      </c>
      <c r="O11" s="28" t="s">
        <v>32</v>
      </c>
      <c r="P11" s="2" t="s">
        <v>33</v>
      </c>
      <c r="R11" s="28" t="s">
        <v>32</v>
      </c>
      <c r="T11" s="2" t="str">
        <f t="shared" ref="T11:T43" si="0">R11</f>
        <v>(05B) | AC → AC</v>
      </c>
    </row>
    <row r="12" spans="1:20" x14ac:dyDescent="0.25">
      <c r="A12" s="3" t="s">
        <v>34</v>
      </c>
      <c r="B12" s="3" t="s">
        <v>20</v>
      </c>
      <c r="C12" s="1" t="s">
        <v>35</v>
      </c>
      <c r="D12" s="3" t="s">
        <v>39</v>
      </c>
      <c r="E12" s="3" t="s">
        <v>20</v>
      </c>
      <c r="F12" s="3" t="s">
        <v>158</v>
      </c>
      <c r="G12" s="3" t="s">
        <v>182</v>
      </c>
      <c r="H12" s="3" t="s">
        <v>34</v>
      </c>
      <c r="I12" s="3" t="s">
        <v>164</v>
      </c>
      <c r="J12" s="3" t="s">
        <v>182</v>
      </c>
      <c r="K12" s="16" t="s">
        <v>158</v>
      </c>
      <c r="L12" s="3" t="s">
        <v>164</v>
      </c>
      <c r="O12" s="29" t="s">
        <v>36</v>
      </c>
      <c r="P12" s="8" t="s">
        <v>37</v>
      </c>
      <c r="R12" s="29" t="s">
        <v>36</v>
      </c>
      <c r="T12" s="2" t="str">
        <f t="shared" si="0"/>
        <v>AC → (05D)</v>
      </c>
    </row>
    <row r="13" spans="1:20" x14ac:dyDescent="0.25">
      <c r="A13" s="3" t="s">
        <v>39</v>
      </c>
      <c r="B13" s="3" t="s">
        <v>14</v>
      </c>
      <c r="C13" s="1" t="s">
        <v>40</v>
      </c>
      <c r="D13" s="3" t="s">
        <v>43</v>
      </c>
      <c r="E13" s="3" t="s">
        <v>14</v>
      </c>
      <c r="F13" s="2">
        <v>200</v>
      </c>
      <c r="G13" s="3" t="s">
        <v>182</v>
      </c>
      <c r="H13" s="3" t="s">
        <v>39</v>
      </c>
      <c r="I13" s="3" t="s">
        <v>182</v>
      </c>
      <c r="J13" s="3" t="s">
        <v>146</v>
      </c>
      <c r="O13" s="30" t="s">
        <v>41</v>
      </c>
      <c r="P13" s="10" t="s">
        <v>42</v>
      </c>
      <c r="R13" s="30" t="s">
        <v>41</v>
      </c>
      <c r="T13" s="2" t="str">
        <f t="shared" si="0"/>
        <v>0 → AC</v>
      </c>
    </row>
    <row r="14" spans="1:20" x14ac:dyDescent="0.25">
      <c r="A14" s="3" t="s">
        <v>43</v>
      </c>
      <c r="B14" s="3" t="s">
        <v>44</v>
      </c>
      <c r="C14" s="1" t="s">
        <v>45</v>
      </c>
      <c r="D14" s="3" t="s">
        <v>48</v>
      </c>
      <c r="E14" s="3" t="s">
        <v>44</v>
      </c>
      <c r="F14" s="2" t="str">
        <f t="shared" ref="F14:F42" si="1">MID(B14,2,3)</f>
        <v>034</v>
      </c>
      <c r="G14" s="3" t="s">
        <v>164</v>
      </c>
      <c r="H14" s="3" t="s">
        <v>43</v>
      </c>
      <c r="I14" s="3" t="s">
        <v>164</v>
      </c>
      <c r="J14" s="3" t="s">
        <v>182</v>
      </c>
      <c r="O14" s="28" t="s">
        <v>46</v>
      </c>
      <c r="P14" s="2" t="s">
        <v>47</v>
      </c>
      <c r="R14" s="28" t="s">
        <v>46</v>
      </c>
      <c r="T14" s="2" t="str">
        <f t="shared" si="0"/>
        <v>(034) + AC → AC</v>
      </c>
    </row>
    <row r="15" spans="1:20" x14ac:dyDescent="0.25">
      <c r="A15" s="3" t="s">
        <v>48</v>
      </c>
      <c r="B15" s="3" t="s">
        <v>49</v>
      </c>
      <c r="C15" s="1" t="s">
        <v>50</v>
      </c>
      <c r="D15" s="3" t="s">
        <v>54</v>
      </c>
      <c r="E15" s="3" t="s">
        <v>49</v>
      </c>
      <c r="F15" s="2" t="str">
        <f t="shared" si="1"/>
        <v>05D</v>
      </c>
      <c r="G15" s="3" t="s">
        <v>164</v>
      </c>
      <c r="H15" s="3" t="s">
        <v>48</v>
      </c>
      <c r="I15" s="3" t="s">
        <v>182</v>
      </c>
      <c r="J15" s="3" t="s">
        <v>146</v>
      </c>
      <c r="O15" s="28" t="s">
        <v>51</v>
      </c>
      <c r="P15" s="2" t="s">
        <v>52</v>
      </c>
      <c r="R15" s="28" t="s">
        <v>51</v>
      </c>
      <c r="T15" s="2" t="str">
        <f t="shared" si="0"/>
        <v>AC - (05D) → AC</v>
      </c>
    </row>
    <row r="16" spans="1:20" x14ac:dyDescent="0.25">
      <c r="A16" s="3" t="s">
        <v>54</v>
      </c>
      <c r="B16" s="3" t="s">
        <v>20</v>
      </c>
      <c r="C16" s="1" t="s">
        <v>55</v>
      </c>
      <c r="D16" s="3" t="s">
        <v>58</v>
      </c>
      <c r="E16" s="3" t="s">
        <v>20</v>
      </c>
      <c r="F16" s="2" t="str">
        <f t="shared" si="1"/>
        <v>05D</v>
      </c>
      <c r="G16" s="3" t="s">
        <v>164</v>
      </c>
      <c r="H16" s="3" t="s">
        <v>54</v>
      </c>
      <c r="I16" s="3" t="s">
        <v>182</v>
      </c>
      <c r="J16" s="23" t="s">
        <v>146</v>
      </c>
      <c r="K16" s="16" t="s">
        <v>158</v>
      </c>
      <c r="L16" s="3" t="s">
        <v>182</v>
      </c>
      <c r="O16" s="28" t="s">
        <v>36</v>
      </c>
      <c r="P16" s="2" t="s">
        <v>56</v>
      </c>
      <c r="R16" s="28" t="s">
        <v>36</v>
      </c>
      <c r="T16" s="2" t="str">
        <f t="shared" si="0"/>
        <v>AC → (05D)</v>
      </c>
    </row>
    <row r="17" spans="1:20" x14ac:dyDescent="0.25">
      <c r="A17" s="3" t="s">
        <v>58</v>
      </c>
      <c r="B17" s="3" t="s">
        <v>17</v>
      </c>
      <c r="C17" s="1" t="s">
        <v>59</v>
      </c>
      <c r="D17" s="3" t="s">
        <v>62</v>
      </c>
      <c r="E17" s="3" t="s">
        <v>17</v>
      </c>
      <c r="F17" s="2" t="str">
        <f t="shared" si="1"/>
        <v>031</v>
      </c>
      <c r="G17" s="3" t="s">
        <v>162</v>
      </c>
      <c r="H17" s="3" t="s">
        <v>58</v>
      </c>
      <c r="I17" s="3" t="s">
        <v>162</v>
      </c>
      <c r="J17" s="3" t="s">
        <v>182</v>
      </c>
      <c r="O17" s="28" t="s">
        <v>60</v>
      </c>
      <c r="P17" s="2" t="s">
        <v>61</v>
      </c>
      <c r="R17" s="28" t="s">
        <v>60</v>
      </c>
      <c r="T17" s="2" t="str">
        <f t="shared" si="0"/>
        <v>(031) → AC</v>
      </c>
    </row>
    <row r="18" spans="1:20" x14ac:dyDescent="0.25">
      <c r="A18" s="3" t="s">
        <v>62</v>
      </c>
      <c r="B18" s="3" t="s">
        <v>5</v>
      </c>
      <c r="C18" s="1" t="s">
        <v>63</v>
      </c>
      <c r="D18" s="3" t="s">
        <v>66</v>
      </c>
      <c r="E18" s="3" t="s">
        <v>5</v>
      </c>
      <c r="F18" s="2" t="str">
        <f t="shared" si="1"/>
        <v>05D</v>
      </c>
      <c r="G18" s="3" t="s">
        <v>182</v>
      </c>
      <c r="H18" s="3" t="s">
        <v>62</v>
      </c>
      <c r="I18" s="3" t="s">
        <v>182</v>
      </c>
      <c r="J18" s="3" t="s">
        <v>146</v>
      </c>
      <c r="O18" s="28" t="s">
        <v>64</v>
      </c>
      <c r="P18" s="2" t="s">
        <v>65</v>
      </c>
      <c r="R18" s="28" t="s">
        <v>64</v>
      </c>
      <c r="T18" s="2" t="str">
        <f t="shared" si="0"/>
        <v>(05D) &amp; AC → AC</v>
      </c>
    </row>
    <row r="19" spans="1:20" x14ac:dyDescent="0.25">
      <c r="A19" s="3" t="s">
        <v>66</v>
      </c>
      <c r="B19" s="3" t="s">
        <v>20</v>
      </c>
      <c r="C19" s="1" t="s">
        <v>55</v>
      </c>
      <c r="D19" s="3" t="s">
        <v>68</v>
      </c>
      <c r="E19" s="3" t="s">
        <v>20</v>
      </c>
      <c r="F19" s="2" t="str">
        <f t="shared" si="1"/>
        <v>05D</v>
      </c>
      <c r="G19" s="3" t="s">
        <v>182</v>
      </c>
      <c r="H19" s="3" t="s">
        <v>66</v>
      </c>
      <c r="I19" s="3" t="s">
        <v>182</v>
      </c>
      <c r="J19" s="23" t="s">
        <v>146</v>
      </c>
      <c r="K19" s="16" t="s">
        <v>158</v>
      </c>
      <c r="L19" s="3" t="s">
        <v>182</v>
      </c>
      <c r="O19" s="28" t="s">
        <v>36</v>
      </c>
      <c r="P19" s="2" t="s">
        <v>67</v>
      </c>
      <c r="R19" s="28" t="s">
        <v>36</v>
      </c>
      <c r="T19" s="2" t="str">
        <f t="shared" si="0"/>
        <v>AC → (05D)</v>
      </c>
    </row>
    <row r="20" spans="1:20" x14ac:dyDescent="0.25">
      <c r="A20" s="3" t="s">
        <v>68</v>
      </c>
      <c r="B20" s="3" t="s">
        <v>9</v>
      </c>
      <c r="C20" s="1" t="s">
        <v>69</v>
      </c>
      <c r="D20" s="3" t="s">
        <v>72</v>
      </c>
      <c r="E20" s="3" t="s">
        <v>9</v>
      </c>
      <c r="F20" s="2" t="str">
        <f t="shared" si="1"/>
        <v>059</v>
      </c>
      <c r="G20" s="3" t="s">
        <v>140</v>
      </c>
      <c r="H20" s="3" t="s">
        <v>68</v>
      </c>
      <c r="I20" s="3" t="s">
        <v>140</v>
      </c>
      <c r="J20" s="3" t="s">
        <v>164</v>
      </c>
      <c r="O20" s="28" t="s">
        <v>70</v>
      </c>
      <c r="P20" s="2" t="s">
        <v>71</v>
      </c>
      <c r="R20" s="28" t="s">
        <v>70</v>
      </c>
      <c r="T20" s="2" t="str">
        <f t="shared" si="0"/>
        <v>(059) → AC</v>
      </c>
    </row>
    <row r="21" spans="1:20" x14ac:dyDescent="0.25">
      <c r="A21" s="3" t="s">
        <v>72</v>
      </c>
      <c r="B21" s="3" t="s">
        <v>49</v>
      </c>
      <c r="C21" s="1" t="s">
        <v>50</v>
      </c>
      <c r="D21" s="3" t="s">
        <v>75</v>
      </c>
      <c r="E21" s="3" t="s">
        <v>49</v>
      </c>
      <c r="F21" s="2" t="str">
        <f t="shared" si="1"/>
        <v>05D</v>
      </c>
      <c r="G21" s="3" t="s">
        <v>182</v>
      </c>
      <c r="H21" s="3" t="s">
        <v>72</v>
      </c>
      <c r="I21" s="3" t="s">
        <v>140</v>
      </c>
      <c r="J21" s="3" t="s">
        <v>164</v>
      </c>
      <c r="O21" s="28" t="s">
        <v>51</v>
      </c>
      <c r="P21" s="2" t="s">
        <v>73</v>
      </c>
      <c r="R21" s="28" t="s">
        <v>51</v>
      </c>
      <c r="T21" s="2" t="str">
        <f t="shared" si="0"/>
        <v>AC - (05D) → AC</v>
      </c>
    </row>
    <row r="22" spans="1:20" x14ac:dyDescent="0.25">
      <c r="A22" s="3" t="s">
        <v>75</v>
      </c>
      <c r="B22" s="3" t="s">
        <v>20</v>
      </c>
      <c r="C22" s="1" t="s">
        <v>55</v>
      </c>
      <c r="D22" s="3" t="s">
        <v>78</v>
      </c>
      <c r="E22" s="3" t="s">
        <v>20</v>
      </c>
      <c r="F22" s="2" t="str">
        <f t="shared" si="1"/>
        <v>05D</v>
      </c>
      <c r="G22" s="3" t="s">
        <v>182</v>
      </c>
      <c r="H22" s="3" t="s">
        <v>75</v>
      </c>
      <c r="I22" s="3" t="s">
        <v>140</v>
      </c>
      <c r="J22" s="3" t="s">
        <v>164</v>
      </c>
      <c r="K22" s="16" t="s">
        <v>158</v>
      </c>
      <c r="L22" s="3" t="s">
        <v>140</v>
      </c>
      <c r="O22" s="29" t="s">
        <v>36</v>
      </c>
      <c r="P22" s="8" t="s">
        <v>76</v>
      </c>
      <c r="R22" s="29" t="s">
        <v>36</v>
      </c>
      <c r="T22" s="2" t="str">
        <f t="shared" si="0"/>
        <v>AC → (05D)</v>
      </c>
    </row>
    <row r="23" spans="1:20" x14ac:dyDescent="0.25">
      <c r="A23" s="3" t="s">
        <v>78</v>
      </c>
      <c r="B23" s="3" t="s">
        <v>14</v>
      </c>
      <c r="C23" s="1" t="s">
        <v>40</v>
      </c>
      <c r="D23" s="3" t="s">
        <v>79</v>
      </c>
      <c r="E23" s="3" t="s">
        <v>14</v>
      </c>
      <c r="F23" s="2" t="str">
        <f t="shared" si="1"/>
        <v>200</v>
      </c>
      <c r="G23" s="3" t="s">
        <v>182</v>
      </c>
      <c r="H23" s="3" t="s">
        <v>78</v>
      </c>
      <c r="I23" s="3" t="s">
        <v>182</v>
      </c>
      <c r="J23" s="3" t="s">
        <v>146</v>
      </c>
      <c r="O23" s="30" t="s">
        <v>41</v>
      </c>
      <c r="P23" s="10" t="s">
        <v>42</v>
      </c>
      <c r="R23" s="30" t="s">
        <v>41</v>
      </c>
      <c r="T23" s="2" t="str">
        <f t="shared" si="0"/>
        <v>0 → AC</v>
      </c>
    </row>
    <row r="24" spans="1:20" x14ac:dyDescent="0.25">
      <c r="A24" s="3" t="s">
        <v>79</v>
      </c>
      <c r="B24" s="3" t="s">
        <v>80</v>
      </c>
      <c r="C24" s="1" t="s">
        <v>81</v>
      </c>
      <c r="D24" s="3" t="s">
        <v>84</v>
      </c>
      <c r="E24" s="3" t="s">
        <v>80</v>
      </c>
      <c r="F24" s="2" t="str">
        <f t="shared" si="1"/>
        <v>033</v>
      </c>
      <c r="G24" s="3" t="s">
        <v>166</v>
      </c>
      <c r="H24" s="3" t="s">
        <v>196</v>
      </c>
      <c r="I24" s="3" t="s">
        <v>166</v>
      </c>
      <c r="J24" s="3" t="s">
        <v>182</v>
      </c>
      <c r="O24" s="31" t="s">
        <v>82</v>
      </c>
      <c r="P24" s="2" t="s">
        <v>83</v>
      </c>
      <c r="R24" s="31" t="s">
        <v>82</v>
      </c>
      <c r="T24" s="2" t="str">
        <f t="shared" si="0"/>
        <v>(033) | AC → AC</v>
      </c>
    </row>
    <row r="25" spans="1:20" x14ac:dyDescent="0.25">
      <c r="A25" s="3" t="s">
        <v>84</v>
      </c>
      <c r="B25" s="3" t="s">
        <v>5</v>
      </c>
      <c r="C25" s="1" t="s">
        <v>63</v>
      </c>
      <c r="D25" s="3" t="s">
        <v>86</v>
      </c>
      <c r="E25" s="3" t="s">
        <v>5</v>
      </c>
      <c r="F25" s="2" t="str">
        <f t="shared" si="1"/>
        <v>05D</v>
      </c>
      <c r="G25" s="3" t="s">
        <v>140</v>
      </c>
      <c r="H25" s="3" t="s">
        <v>84</v>
      </c>
      <c r="I25" s="2" t="s">
        <v>188</v>
      </c>
      <c r="J25" s="3" t="s">
        <v>182</v>
      </c>
      <c r="O25" s="31" t="s">
        <v>64</v>
      </c>
      <c r="P25" s="2" t="s">
        <v>85</v>
      </c>
      <c r="R25" s="31" t="s">
        <v>64</v>
      </c>
      <c r="T25" s="2" t="str">
        <f t="shared" si="0"/>
        <v>(05D) &amp; AC → AC</v>
      </c>
    </row>
    <row r="26" spans="1:20" x14ac:dyDescent="0.25">
      <c r="A26" s="3" t="s">
        <v>86</v>
      </c>
      <c r="B26" s="3" t="s">
        <v>20</v>
      </c>
      <c r="C26" s="1" t="s">
        <v>55</v>
      </c>
      <c r="D26" s="3" t="s">
        <v>89</v>
      </c>
      <c r="E26" s="3" t="s">
        <v>20</v>
      </c>
      <c r="F26" s="2" t="str">
        <f t="shared" si="1"/>
        <v>05D</v>
      </c>
      <c r="G26" s="3" t="s">
        <v>140</v>
      </c>
      <c r="H26" s="3" t="s">
        <v>86</v>
      </c>
      <c r="I26" s="2" t="s">
        <v>188</v>
      </c>
      <c r="J26" s="3" t="s">
        <v>182</v>
      </c>
      <c r="K26" s="16" t="s">
        <v>158</v>
      </c>
      <c r="L26" s="2" t="s">
        <v>188</v>
      </c>
      <c r="O26" s="31" t="s">
        <v>36</v>
      </c>
      <c r="P26" s="2" t="s">
        <v>87</v>
      </c>
      <c r="R26" s="31" t="s">
        <v>36</v>
      </c>
      <c r="T26" s="2" t="str">
        <f t="shared" si="0"/>
        <v>AC → (05D)</v>
      </c>
    </row>
    <row r="27" spans="1:20" x14ac:dyDescent="0.25">
      <c r="A27" s="3" t="s">
        <v>89</v>
      </c>
      <c r="B27" s="3" t="s">
        <v>90</v>
      </c>
      <c r="C27" s="1" t="s">
        <v>91</v>
      </c>
      <c r="D27" s="3" t="s">
        <v>94</v>
      </c>
      <c r="E27" s="3" t="s">
        <v>90</v>
      </c>
      <c r="F27" s="2" t="str">
        <f t="shared" si="1"/>
        <v>030</v>
      </c>
      <c r="G27" s="3" t="s">
        <v>160</v>
      </c>
      <c r="H27" s="3" t="s">
        <v>89</v>
      </c>
      <c r="I27" s="3" t="s">
        <v>160</v>
      </c>
      <c r="J27" s="3" t="s">
        <v>164</v>
      </c>
      <c r="O27" s="31" t="s">
        <v>92</v>
      </c>
      <c r="P27" s="2" t="s">
        <v>93</v>
      </c>
      <c r="R27" s="31" t="s">
        <v>92</v>
      </c>
      <c r="T27" s="2" t="str">
        <f t="shared" si="0"/>
        <v>(030) → AC</v>
      </c>
    </row>
    <row r="28" spans="1:20" x14ac:dyDescent="0.25">
      <c r="A28" s="3" t="s">
        <v>94</v>
      </c>
      <c r="B28" s="3" t="s">
        <v>95</v>
      </c>
      <c r="C28" s="1" t="s">
        <v>96</v>
      </c>
      <c r="D28" s="3" t="s">
        <v>99</v>
      </c>
      <c r="E28" s="3" t="s">
        <v>95</v>
      </c>
      <c r="F28" s="2" t="str">
        <f t="shared" si="1"/>
        <v>05D</v>
      </c>
      <c r="G28" s="2" t="s">
        <v>188</v>
      </c>
      <c r="H28" s="3" t="s">
        <v>94</v>
      </c>
      <c r="I28" s="2" t="s">
        <v>189</v>
      </c>
      <c r="J28" s="2">
        <v>1001</v>
      </c>
      <c r="O28" s="31" t="s">
        <v>97</v>
      </c>
      <c r="P28" s="2" t="s">
        <v>98</v>
      </c>
      <c r="R28" s="31" t="s">
        <v>97</v>
      </c>
      <c r="T28" s="2" t="str">
        <f t="shared" si="0"/>
        <v>(05D) + AC → AC</v>
      </c>
    </row>
    <row r="29" spans="1:20" x14ac:dyDescent="0.25">
      <c r="A29" s="3" t="s">
        <v>99</v>
      </c>
      <c r="B29" s="3" t="s">
        <v>20</v>
      </c>
      <c r="C29" s="1" t="s">
        <v>55</v>
      </c>
      <c r="D29" s="3" t="s">
        <v>101</v>
      </c>
      <c r="E29" s="3" t="s">
        <v>20</v>
      </c>
      <c r="F29" s="2" t="str">
        <f t="shared" si="1"/>
        <v>05D</v>
      </c>
      <c r="G29" s="2" t="s">
        <v>188</v>
      </c>
      <c r="H29" s="3" t="s">
        <v>99</v>
      </c>
      <c r="I29" s="2" t="s">
        <v>189</v>
      </c>
      <c r="J29" s="2">
        <v>1001</v>
      </c>
      <c r="K29" s="16" t="s">
        <v>158</v>
      </c>
      <c r="L29" s="2" t="s">
        <v>189</v>
      </c>
      <c r="O29" s="29" t="s">
        <v>36</v>
      </c>
      <c r="P29" s="8" t="s">
        <v>100</v>
      </c>
      <c r="R29" s="29" t="s">
        <v>36</v>
      </c>
      <c r="T29" s="2" t="str">
        <f t="shared" si="0"/>
        <v>AC → (05D)</v>
      </c>
    </row>
    <row r="30" spans="1:20" x14ac:dyDescent="0.25">
      <c r="A30" s="3" t="s">
        <v>101</v>
      </c>
      <c r="B30" s="3" t="s">
        <v>14</v>
      </c>
      <c r="C30" s="1" t="s">
        <v>40</v>
      </c>
      <c r="D30" s="3" t="s">
        <v>103</v>
      </c>
      <c r="E30" s="3" t="s">
        <v>14</v>
      </c>
      <c r="F30" s="2" t="str">
        <f t="shared" si="1"/>
        <v>200</v>
      </c>
      <c r="G30" s="2" t="s">
        <v>188</v>
      </c>
      <c r="H30" s="3" t="s">
        <v>101</v>
      </c>
      <c r="I30" s="3" t="s">
        <v>182</v>
      </c>
      <c r="J30" s="3" t="s">
        <v>146</v>
      </c>
      <c r="O30" s="30" t="s">
        <v>41</v>
      </c>
      <c r="P30" s="10" t="s">
        <v>42</v>
      </c>
      <c r="R30" s="30" t="s">
        <v>41</v>
      </c>
      <c r="T30" s="2" t="str">
        <f t="shared" si="0"/>
        <v>0 → AC</v>
      </c>
    </row>
    <row r="31" spans="1:20" x14ac:dyDescent="0.25">
      <c r="A31" s="3" t="s">
        <v>103</v>
      </c>
      <c r="B31" s="3" t="s">
        <v>104</v>
      </c>
      <c r="C31" s="1" t="s">
        <v>105</v>
      </c>
      <c r="D31" s="3" t="s">
        <v>109</v>
      </c>
      <c r="E31" s="3" t="s">
        <v>104</v>
      </c>
      <c r="F31" s="2" t="str">
        <f t="shared" si="1"/>
        <v>280</v>
      </c>
      <c r="G31" s="2" t="s">
        <v>188</v>
      </c>
      <c r="H31" s="3" t="s">
        <v>103</v>
      </c>
      <c r="I31" s="3" t="s">
        <v>190</v>
      </c>
      <c r="J31" s="3" t="s">
        <v>182</v>
      </c>
      <c r="O31" s="31" t="s">
        <v>106</v>
      </c>
      <c r="P31" s="2" t="s">
        <v>107</v>
      </c>
      <c r="R31" s="31" t="s">
        <v>106</v>
      </c>
      <c r="T31" s="2" t="str">
        <f t="shared" si="0"/>
        <v>^AC → AC</v>
      </c>
    </row>
    <row r="32" spans="1:20" x14ac:dyDescent="0.25">
      <c r="A32" s="3" t="s">
        <v>109</v>
      </c>
      <c r="B32" s="3" t="s">
        <v>110</v>
      </c>
      <c r="C32" s="1" t="s">
        <v>111</v>
      </c>
      <c r="D32" s="3" t="s">
        <v>115</v>
      </c>
      <c r="E32" s="3" t="s">
        <v>110</v>
      </c>
      <c r="F32" s="2" t="str">
        <f t="shared" si="1"/>
        <v>036</v>
      </c>
      <c r="G32" s="3" t="s">
        <v>171</v>
      </c>
      <c r="H32" s="3" t="s">
        <v>197</v>
      </c>
      <c r="I32" s="3" t="s">
        <v>191</v>
      </c>
      <c r="J32" s="2">
        <v>1000</v>
      </c>
      <c r="O32" s="31" t="s">
        <v>112</v>
      </c>
      <c r="P32" s="2" t="s">
        <v>113</v>
      </c>
      <c r="R32" s="31" t="s">
        <v>112</v>
      </c>
      <c r="T32" s="2" t="str">
        <f t="shared" si="0"/>
        <v>(036) | AC → AC</v>
      </c>
    </row>
    <row r="33" spans="1:20" x14ac:dyDescent="0.25">
      <c r="A33" s="3" t="s">
        <v>115</v>
      </c>
      <c r="B33" s="3" t="s">
        <v>5</v>
      </c>
      <c r="C33" s="1" t="s">
        <v>63</v>
      </c>
      <c r="D33" s="3" t="s">
        <v>118</v>
      </c>
      <c r="E33" s="3" t="s">
        <v>5</v>
      </c>
      <c r="F33" s="2" t="str">
        <f t="shared" si="1"/>
        <v>05D</v>
      </c>
      <c r="G33" s="2" t="s">
        <v>189</v>
      </c>
      <c r="H33" s="3" t="s">
        <v>115</v>
      </c>
      <c r="I33" s="2" t="s">
        <v>192</v>
      </c>
      <c r="J33" s="2">
        <v>1000</v>
      </c>
      <c r="O33" s="31" t="s">
        <v>64</v>
      </c>
      <c r="P33" s="2" t="s">
        <v>116</v>
      </c>
      <c r="R33" s="31" t="s">
        <v>64</v>
      </c>
      <c r="T33" s="2" t="str">
        <f t="shared" si="0"/>
        <v>(05D) &amp; AC → AC</v>
      </c>
    </row>
    <row r="34" spans="1:20" x14ac:dyDescent="0.25">
      <c r="A34" s="3" t="s">
        <v>118</v>
      </c>
      <c r="B34" s="3" t="s">
        <v>20</v>
      </c>
      <c r="C34" s="1" t="s">
        <v>55</v>
      </c>
      <c r="D34" s="3" t="s">
        <v>120</v>
      </c>
      <c r="E34" s="3" t="s">
        <v>20</v>
      </c>
      <c r="F34" s="2" t="str">
        <f t="shared" si="1"/>
        <v>05D</v>
      </c>
      <c r="G34" s="2" t="s">
        <v>189</v>
      </c>
      <c r="H34" s="3" t="s">
        <v>118</v>
      </c>
      <c r="I34" s="2" t="s">
        <v>192</v>
      </c>
      <c r="J34" s="2">
        <v>1000</v>
      </c>
      <c r="K34" s="16" t="s">
        <v>158</v>
      </c>
      <c r="L34" s="2" t="s">
        <v>192</v>
      </c>
      <c r="O34" s="29" t="s">
        <v>36</v>
      </c>
      <c r="P34" s="8" t="s">
        <v>119</v>
      </c>
      <c r="R34" s="29" t="s">
        <v>36</v>
      </c>
      <c r="T34" s="2" t="str">
        <f t="shared" si="0"/>
        <v>AC → (05D)</v>
      </c>
    </row>
    <row r="35" spans="1:20" x14ac:dyDescent="0.25">
      <c r="A35" s="3" t="s">
        <v>120</v>
      </c>
      <c r="B35" s="3" t="s">
        <v>14</v>
      </c>
      <c r="C35" s="1" t="s">
        <v>40</v>
      </c>
      <c r="D35" s="3" t="s">
        <v>121</v>
      </c>
      <c r="E35" s="3" t="s">
        <v>14</v>
      </c>
      <c r="F35" s="2" t="str">
        <f t="shared" si="1"/>
        <v>200</v>
      </c>
      <c r="G35" s="2" t="s">
        <v>189</v>
      </c>
      <c r="H35" s="3" t="s">
        <v>120</v>
      </c>
      <c r="I35" s="3" t="s">
        <v>182</v>
      </c>
      <c r="J35" s="3" t="s">
        <v>146</v>
      </c>
      <c r="O35" s="30" t="s">
        <v>41</v>
      </c>
      <c r="P35" s="10" t="s">
        <v>42</v>
      </c>
      <c r="R35" s="30" t="s">
        <v>41</v>
      </c>
      <c r="T35" s="2" t="str">
        <f t="shared" si="0"/>
        <v>0 → AC</v>
      </c>
    </row>
    <row r="36" spans="1:20" x14ac:dyDescent="0.25">
      <c r="A36" s="3" t="s">
        <v>121</v>
      </c>
      <c r="B36" s="3" t="s">
        <v>122</v>
      </c>
      <c r="C36" s="1" t="s">
        <v>123</v>
      </c>
      <c r="D36" s="3" t="s">
        <v>126</v>
      </c>
      <c r="E36" s="3" t="s">
        <v>122</v>
      </c>
      <c r="F36" s="2" t="str">
        <f t="shared" si="1"/>
        <v>05A</v>
      </c>
      <c r="G36" s="3" t="s">
        <v>184</v>
      </c>
      <c r="H36" s="3" t="s">
        <v>121</v>
      </c>
      <c r="I36" s="3" t="s">
        <v>184</v>
      </c>
      <c r="J36" s="3" t="s">
        <v>182</v>
      </c>
      <c r="O36" s="31" t="s">
        <v>124</v>
      </c>
      <c r="P36" s="2" t="s">
        <v>125</v>
      </c>
      <c r="R36" s="31" t="s">
        <v>124</v>
      </c>
      <c r="T36" s="2" t="str">
        <f t="shared" si="0"/>
        <v>(05A) + AC → AC</v>
      </c>
    </row>
    <row r="37" spans="1:20" x14ac:dyDescent="0.25">
      <c r="A37" s="3" t="s">
        <v>126</v>
      </c>
      <c r="B37" s="3" t="s">
        <v>49</v>
      </c>
      <c r="C37" s="1" t="s">
        <v>50</v>
      </c>
      <c r="D37" s="3" t="s">
        <v>129</v>
      </c>
      <c r="E37" s="3" t="s">
        <v>49</v>
      </c>
      <c r="F37" s="2" t="str">
        <f t="shared" si="1"/>
        <v>05D</v>
      </c>
      <c r="G37" s="2" t="s">
        <v>192</v>
      </c>
      <c r="H37" s="3" t="s">
        <v>126</v>
      </c>
      <c r="I37" s="3" t="s">
        <v>193</v>
      </c>
      <c r="J37" s="2">
        <v>1010</v>
      </c>
      <c r="O37" s="31" t="s">
        <v>51</v>
      </c>
      <c r="P37" s="2" t="s">
        <v>127</v>
      </c>
      <c r="R37" s="31" t="s">
        <v>51</v>
      </c>
      <c r="T37" s="2" t="str">
        <f t="shared" si="0"/>
        <v>AC - (05D) → AC</v>
      </c>
    </row>
    <row r="38" spans="1:20" x14ac:dyDescent="0.25">
      <c r="A38" s="3" t="s">
        <v>129</v>
      </c>
      <c r="B38" s="3" t="s">
        <v>20</v>
      </c>
      <c r="C38" s="1" t="s">
        <v>55</v>
      </c>
      <c r="D38" s="3" t="s">
        <v>131</v>
      </c>
      <c r="E38" s="3" t="s">
        <v>20</v>
      </c>
      <c r="F38" s="2" t="str">
        <f t="shared" si="1"/>
        <v>05D</v>
      </c>
      <c r="G38" s="2" t="s">
        <v>192</v>
      </c>
      <c r="H38" s="3" t="s">
        <v>129</v>
      </c>
      <c r="I38" s="3" t="s">
        <v>193</v>
      </c>
      <c r="J38" s="2">
        <v>1010</v>
      </c>
      <c r="K38" s="16" t="s">
        <v>158</v>
      </c>
      <c r="L38" s="3" t="s">
        <v>193</v>
      </c>
      <c r="O38" s="29" t="s">
        <v>36</v>
      </c>
      <c r="P38" s="8" t="s">
        <v>130</v>
      </c>
      <c r="R38" s="29" t="s">
        <v>36</v>
      </c>
      <c r="T38" s="2" t="str">
        <f t="shared" si="0"/>
        <v>AC → (05D)</v>
      </c>
    </row>
    <row r="39" spans="1:20" x14ac:dyDescent="0.25">
      <c r="A39" s="3" t="s">
        <v>131</v>
      </c>
      <c r="B39" s="3" t="s">
        <v>14</v>
      </c>
      <c r="C39" s="1" t="s">
        <v>40</v>
      </c>
      <c r="D39" s="3" t="s">
        <v>132</v>
      </c>
      <c r="E39" s="3" t="s">
        <v>14</v>
      </c>
      <c r="F39" s="2" t="str">
        <f t="shared" si="1"/>
        <v>200</v>
      </c>
      <c r="G39" s="2" t="s">
        <v>192</v>
      </c>
      <c r="H39" s="3" t="s">
        <v>131</v>
      </c>
      <c r="I39" s="3" t="s">
        <v>182</v>
      </c>
      <c r="J39" s="3" t="s">
        <v>146</v>
      </c>
      <c r="O39" s="30" t="s">
        <v>41</v>
      </c>
      <c r="P39" s="10" t="s">
        <v>42</v>
      </c>
      <c r="R39" s="30" t="s">
        <v>41</v>
      </c>
      <c r="T39" s="2" t="str">
        <f t="shared" si="0"/>
        <v>0 → AC</v>
      </c>
    </row>
    <row r="40" spans="1:20" x14ac:dyDescent="0.25">
      <c r="A40" s="3" t="s">
        <v>132</v>
      </c>
      <c r="B40" s="3" t="s">
        <v>133</v>
      </c>
      <c r="C40" s="1" t="s">
        <v>134</v>
      </c>
      <c r="D40" s="3" t="s">
        <v>137</v>
      </c>
      <c r="E40" s="3" t="s">
        <v>133</v>
      </c>
      <c r="F40" s="2" t="str">
        <f t="shared" si="1"/>
        <v>035</v>
      </c>
      <c r="G40" s="3" t="s">
        <v>169</v>
      </c>
      <c r="H40" s="3" t="s">
        <v>198</v>
      </c>
      <c r="I40" s="3" t="s">
        <v>169</v>
      </c>
      <c r="J40" s="3" t="s">
        <v>182</v>
      </c>
      <c r="O40" s="31" t="s">
        <v>135</v>
      </c>
      <c r="P40" s="2" t="s">
        <v>136</v>
      </c>
      <c r="R40" s="31" t="s">
        <v>135</v>
      </c>
      <c r="T40" s="2" t="str">
        <f t="shared" si="0"/>
        <v>(035) | AC → AC</v>
      </c>
    </row>
    <row r="41" spans="1:20" x14ac:dyDescent="0.25">
      <c r="A41" s="3" t="s">
        <v>137</v>
      </c>
      <c r="B41" s="3" t="s">
        <v>5</v>
      </c>
      <c r="C41" s="1" t="s">
        <v>63</v>
      </c>
      <c r="D41" s="3" t="s">
        <v>139</v>
      </c>
      <c r="E41" s="3" t="s">
        <v>5</v>
      </c>
      <c r="F41" s="2" t="str">
        <f t="shared" si="1"/>
        <v>05D</v>
      </c>
      <c r="G41" s="3" t="s">
        <v>193</v>
      </c>
      <c r="H41" s="3" t="s">
        <v>137</v>
      </c>
      <c r="I41" s="3" t="s">
        <v>169</v>
      </c>
      <c r="J41" s="3" t="s">
        <v>182</v>
      </c>
      <c r="O41" s="31" t="s">
        <v>64</v>
      </c>
      <c r="P41" s="2" t="s">
        <v>138</v>
      </c>
      <c r="R41" s="31" t="s">
        <v>64</v>
      </c>
      <c r="T41" s="2" t="str">
        <f t="shared" si="0"/>
        <v>(05D) &amp; AC → AC</v>
      </c>
    </row>
    <row r="42" spans="1:20" x14ac:dyDescent="0.25">
      <c r="A42" s="3" t="s">
        <v>139</v>
      </c>
      <c r="B42" s="3" t="s">
        <v>140</v>
      </c>
      <c r="C42" s="1" t="s">
        <v>141</v>
      </c>
      <c r="D42" s="3" t="s">
        <v>145</v>
      </c>
      <c r="E42" s="3" t="s">
        <v>140</v>
      </c>
      <c r="F42" s="2" t="str">
        <f t="shared" si="1"/>
        <v>05C</v>
      </c>
      <c r="G42" s="3" t="s">
        <v>193</v>
      </c>
      <c r="H42" s="3" t="s">
        <v>139</v>
      </c>
      <c r="I42" s="3" t="s">
        <v>169</v>
      </c>
      <c r="J42" s="3" t="s">
        <v>182</v>
      </c>
      <c r="K42" s="22" t="s">
        <v>156</v>
      </c>
      <c r="L42" s="3" t="s">
        <v>169</v>
      </c>
      <c r="O42" s="32" t="s">
        <v>142</v>
      </c>
      <c r="P42" s="12" t="s">
        <v>143</v>
      </c>
      <c r="R42" s="32" t="s">
        <v>142</v>
      </c>
      <c r="T42" s="2" t="str">
        <f t="shared" si="0"/>
        <v>AC → (05C)</v>
      </c>
    </row>
    <row r="43" spans="1:20" x14ac:dyDescent="0.25">
      <c r="A43" s="13" t="s">
        <v>145</v>
      </c>
      <c r="B43" s="13" t="s">
        <v>146</v>
      </c>
      <c r="C43" s="14" t="s">
        <v>147</v>
      </c>
      <c r="D43" s="3" t="s">
        <v>150</v>
      </c>
      <c r="E43" s="13" t="s">
        <v>146</v>
      </c>
      <c r="F43" s="3" t="s">
        <v>194</v>
      </c>
      <c r="G43" s="3" t="s">
        <v>193</v>
      </c>
      <c r="H43" s="3" t="s">
        <v>145</v>
      </c>
      <c r="I43" s="3" t="s">
        <v>169</v>
      </c>
      <c r="J43" s="3" t="s">
        <v>182</v>
      </c>
      <c r="O43" s="33" t="s">
        <v>148</v>
      </c>
      <c r="P43" s="15" t="s">
        <v>149</v>
      </c>
      <c r="R43" s="33" t="s">
        <v>148</v>
      </c>
      <c r="T43" s="2" t="str">
        <f t="shared" si="0"/>
        <v>ОСТАНОВКА</v>
      </c>
    </row>
    <row r="44" spans="1:20" x14ac:dyDescent="0.25">
      <c r="A44" s="3" t="s">
        <v>150</v>
      </c>
      <c r="B44" s="3" t="s">
        <v>140</v>
      </c>
      <c r="C44" s="1" t="s">
        <v>6</v>
      </c>
      <c r="K44" s="16" t="s">
        <v>183</v>
      </c>
      <c r="O44" s="1" t="s">
        <v>151</v>
      </c>
    </row>
    <row r="45" spans="1:20" x14ac:dyDescent="0.25">
      <c r="A45" s="3" t="s">
        <v>152</v>
      </c>
      <c r="B45" s="3" t="s">
        <v>184</v>
      </c>
      <c r="C45" s="1" t="s">
        <v>6</v>
      </c>
      <c r="K45" s="16" t="s">
        <v>185</v>
      </c>
      <c r="O45" s="1" t="s">
        <v>153</v>
      </c>
    </row>
    <row r="46" spans="1:20" x14ac:dyDescent="0.25">
      <c r="A46" s="3" t="s">
        <v>154</v>
      </c>
      <c r="B46" s="3" t="s">
        <v>182</v>
      </c>
      <c r="C46" s="1" t="s">
        <v>6</v>
      </c>
      <c r="K46" s="16" t="s">
        <v>186</v>
      </c>
      <c r="O46" s="1" t="s">
        <v>155</v>
      </c>
    </row>
    <row r="47" spans="1:20" x14ac:dyDescent="0.25">
      <c r="A47" s="3" t="s">
        <v>156</v>
      </c>
      <c r="B47" s="3" t="s">
        <v>187</v>
      </c>
      <c r="C47" s="1" t="s">
        <v>6</v>
      </c>
      <c r="O47" s="11" t="s">
        <v>157</v>
      </c>
    </row>
    <row r="48" spans="1:20" x14ac:dyDescent="0.25">
      <c r="A48" s="3" t="s">
        <v>158</v>
      </c>
      <c r="B48" s="3" t="s">
        <v>187</v>
      </c>
      <c r="C48" s="1" t="s">
        <v>6</v>
      </c>
      <c r="O48" s="7" t="s">
        <v>159</v>
      </c>
    </row>
    <row r="51" spans="1:11" x14ac:dyDescent="0.25">
      <c r="A51" s="3" t="s">
        <v>145</v>
      </c>
      <c r="B51" s="3" t="s">
        <v>146</v>
      </c>
      <c r="C51" s="1" t="s">
        <v>147</v>
      </c>
      <c r="D51" s="2">
        <v>59</v>
      </c>
      <c r="E51" s="2">
        <v>100</v>
      </c>
      <c r="F51" s="2">
        <v>100</v>
      </c>
      <c r="G51" s="3" t="s">
        <v>193</v>
      </c>
      <c r="H51" s="3" t="s">
        <v>145</v>
      </c>
      <c r="I51" s="3" t="s">
        <v>169</v>
      </c>
      <c r="J51" s="3" t="s">
        <v>182</v>
      </c>
      <c r="K51" s="3"/>
    </row>
  </sheetData>
  <pageMargins left="0.70000000000000007" right="0.70000000000000007" top="0.75" bottom="0.75" header="0.30000000000000004" footer="0.30000000000000004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Фёдор Веселов</cp:lastModifiedBy>
  <cp:revision>8</cp:revision>
  <dcterms:created xsi:type="dcterms:W3CDTF">2025-12-03T13:28:29Z</dcterms:created>
  <dcterms:modified xsi:type="dcterms:W3CDTF">2026-02-21T20:29:56Z</dcterms:modified>
</cp:coreProperties>
</file>